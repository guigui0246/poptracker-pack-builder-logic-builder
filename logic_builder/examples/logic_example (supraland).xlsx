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67cc1b7e8ba29e/poptracker-pack-builder-logic-builder/logic_builder/examples/"/>
    </mc:Choice>
  </mc:AlternateContent>
  <xr:revisionPtr revIDLastSave="1080" documentId="8_{88F46FE1-C902-47F1-BBE3-92118E7F9666}" xr6:coauthVersionLast="47" xr6:coauthVersionMax="47" xr10:uidLastSave="{47C26571-03DC-4714-A292-85259BA2072B}"/>
  <bookViews>
    <workbookView xWindow="-108" yWindow="-108" windowWidth="23256" windowHeight="13176" activeTab="3" xr2:uid="{8319B6F2-8196-4A59-A2A7-57E761193062}"/>
  </bookViews>
  <sheets>
    <sheet name="Locations" sheetId="1" r:id="rId1"/>
    <sheet name="Shops" sheetId="7" r:id="rId2"/>
    <sheet name="Items" sheetId="2" r:id="rId3"/>
    <sheet name="Region" sheetId="5" r:id="rId4"/>
    <sheet name="Warp" sheetId="4" r:id="rId5"/>
    <sheet name="Item combinaison" sheetId="3" r:id="rId6"/>
    <sheet name="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 a="1"/>
  <c r="C2" i="6" s="1"/>
  <c r="B3" i="6"/>
  <c r="B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<sst xmlns="http://schemas.openxmlformats.org/spreadsheetml/2006/main" count="546" uniqueCount="299">
  <si>
    <t>Location name</t>
  </si>
  <si>
    <t>Location code</t>
  </si>
  <si>
    <t>Item needed</t>
  </si>
  <si>
    <t>Region</t>
  </si>
  <si>
    <t>Item name</t>
  </si>
  <si>
    <t>Item code</t>
  </si>
  <si>
    <t>Region name</t>
  </si>
  <si>
    <t>Region code</t>
  </si>
  <si>
    <t>Possible warps</t>
  </si>
  <si>
    <t>Warp name</t>
  </si>
  <si>
    <t>Warp code</t>
  </si>
  <si>
    <t>Combinaison name</t>
  </si>
  <si>
    <t>Combinaison code</t>
  </si>
  <si>
    <t>Possible items</t>
  </si>
  <si>
    <t>Needs all item ?</t>
  </si>
  <si>
    <t>Amount of item needed if not</t>
  </si>
  <si>
    <t>Logic difficulty</t>
  </si>
  <si>
    <t>0 - no logic</t>
  </si>
  <si>
    <t>1 - easy</t>
  </si>
  <si>
    <t>2 - medium</t>
  </si>
  <si>
    <t>3 - hard</t>
  </si>
  <si>
    <t>4 - glitched</t>
  </si>
  <si>
    <t>5 - adv. glitched</t>
  </si>
  <si>
    <t>6 - extreme</t>
  </si>
  <si>
    <t>Localised booleans</t>
  </si>
  <si>
    <t>Previous region</t>
  </si>
  <si>
    <t>Combined items</t>
  </si>
  <si>
    <t>Shop name</t>
  </si>
  <si>
    <t>Price</t>
  </si>
  <si>
    <t>Item (if not money)</t>
  </si>
  <si>
    <t>Item code (if not randomized)</t>
  </si>
  <si>
    <t>Shop code (=Location code)</t>
  </si>
  <si>
    <t>Speed x1,5</t>
  </si>
  <si>
    <t>BuySpeedx15_C</t>
  </si>
  <si>
    <t>BuySpeedx2_C</t>
  </si>
  <si>
    <t>Speed x2</t>
  </si>
  <si>
    <t>Double jump</t>
  </si>
  <si>
    <t>Triple jump</t>
  </si>
  <si>
    <t>BuyDoubleJump_C</t>
  </si>
  <si>
    <t>BuyTripleJump_C</t>
  </si>
  <si>
    <t>UpgradeHappiness_C</t>
  </si>
  <si>
    <t>Happiness</t>
  </si>
  <si>
    <t>BuyWalletx15_C</t>
  </si>
  <si>
    <t>Wallet x2</t>
  </si>
  <si>
    <t>BuyWalletx2_C</t>
  </si>
  <si>
    <t>Wallet x1,5</t>
  </si>
  <si>
    <t>Amount in the pool</t>
  </si>
  <si>
    <t>ProgSpeedJump</t>
  </si>
  <si>
    <t>ProgWalletIncrease</t>
  </si>
  <si>
    <t>BuyHealth+2_C</t>
  </si>
  <si>
    <t>BuyHealth+5_C</t>
  </si>
  <si>
    <t>BuyHealth+15_C</t>
  </si>
  <si>
    <t>Health +2</t>
  </si>
  <si>
    <t>Health +5</t>
  </si>
  <si>
    <t>Health +15</t>
  </si>
  <si>
    <t>ProgSwordDamage</t>
  </si>
  <si>
    <t>Prog: Health</t>
  </si>
  <si>
    <t>Prog: Sword Damage</t>
  </si>
  <si>
    <t>ProgHealth</t>
  </si>
  <si>
    <t>Sword damage +2</t>
  </si>
  <si>
    <t>Sword damage +1</t>
  </si>
  <si>
    <t>Prog: Wallet Increase</t>
  </si>
  <si>
    <t>Prog: Speed/Jump</t>
  </si>
  <si>
    <t>Sword damage +3</t>
  </si>
  <si>
    <t>BuySwordDamage+1_C</t>
  </si>
  <si>
    <t>BuySwordDamage+02_C</t>
  </si>
  <si>
    <t>BuySwordDamage+3_C</t>
  </si>
  <si>
    <t>Prog: Gun Damage</t>
  </si>
  <si>
    <t>ProgGunDamage</t>
  </si>
  <si>
    <t>BuyGubDamage+15_C</t>
  </si>
  <si>
    <t>BuyGunDamage+5_C</t>
  </si>
  <si>
    <t>BuyGunDamage+1_C</t>
  </si>
  <si>
    <t>Prog: Regen</t>
  </si>
  <si>
    <t>ProgRegen</t>
  </si>
  <si>
    <t>BuyHealthRegenMax5_C</t>
  </si>
  <si>
    <t>BuyHealthRegen_C</t>
  </si>
  <si>
    <t>BuyHealthRegenMax10_C</t>
  </si>
  <si>
    <t>Health regen +10</t>
  </si>
  <si>
    <t>Health regen +5</t>
  </si>
  <si>
    <t>Health regen unlock</t>
  </si>
  <si>
    <t>Gun damage +1</t>
  </si>
  <si>
    <t>Gun damage +5</t>
  </si>
  <si>
    <t>Gun damage +15</t>
  </si>
  <si>
    <t>Sword</t>
  </si>
  <si>
    <t>Sword 2</t>
  </si>
  <si>
    <t>BuySword_C</t>
  </si>
  <si>
    <t>BuySword2_C</t>
  </si>
  <si>
    <t>Prog: Sword</t>
  </si>
  <si>
    <t>BuyGun1_C</t>
  </si>
  <si>
    <t>BuyGunAlt_C</t>
  </si>
  <si>
    <t>BuyGunAltDamagex2_C</t>
  </si>
  <si>
    <t>ProgGun</t>
  </si>
  <si>
    <t>ProgSword</t>
  </si>
  <si>
    <t>Prog: Gun</t>
  </si>
  <si>
    <t>Gun</t>
  </si>
  <si>
    <t>Gun Alt</t>
  </si>
  <si>
    <t>Gun Alt damage x2</t>
  </si>
  <si>
    <t>BuyChestDetector_C</t>
  </si>
  <si>
    <t>BuyChestDetectorRadius_C</t>
  </si>
  <si>
    <t>ProgChestDetector</t>
  </si>
  <si>
    <t>Prog: Chest detector</t>
  </si>
  <si>
    <t>Chest detector radius</t>
  </si>
  <si>
    <t>Chest detector</t>
  </si>
  <si>
    <t>Prog: Strenght</t>
  </si>
  <si>
    <t>ProgStrength</t>
  </si>
  <si>
    <t>Strength</t>
  </si>
  <si>
    <t>BuySwordHoly1_C</t>
  </si>
  <si>
    <t>BuySwordHoly2_C</t>
  </si>
  <si>
    <t>ProgGraveSword</t>
  </si>
  <si>
    <t>Sword Holy 1</t>
  </si>
  <si>
    <t>Sword Holy 2</t>
  </si>
  <si>
    <t>BuyGunHoly1_C</t>
  </si>
  <si>
    <t>BuyGunHoly2_C</t>
  </si>
  <si>
    <t>ProgGraveGun</t>
  </si>
  <si>
    <t>Prog: Grave gun</t>
  </si>
  <si>
    <t>Prog: Grave sword</t>
  </si>
  <si>
    <t>Gun Holy 1</t>
  </si>
  <si>
    <t>Gun Holy 2</t>
  </si>
  <si>
    <t>BuyForceBeam_C</t>
  </si>
  <si>
    <t>BuyForceBeamGold_C</t>
  </si>
  <si>
    <t>BuyForceCubeBeam_C</t>
  </si>
  <si>
    <t>ProgForceBeam</t>
  </si>
  <si>
    <t>Prog: Force beam</t>
  </si>
  <si>
    <t>Force beam unlock</t>
  </si>
  <si>
    <t>Golden upgrade</t>
  </si>
  <si>
    <t>Cube beam attach</t>
  </si>
  <si>
    <t>BuyForceCube_C</t>
  </si>
  <si>
    <t>CubeStomp</t>
  </si>
  <si>
    <t>CubeCloseVolcano</t>
  </si>
  <si>
    <t>ProgCube</t>
  </si>
  <si>
    <t>Prog: Force Cube</t>
  </si>
  <si>
    <t>Force cube AOE</t>
  </si>
  <si>
    <t>Force cube unlock</t>
  </si>
  <si>
    <t>Force cube holy</t>
  </si>
  <si>
    <t>BuyTranslocator_C</t>
  </si>
  <si>
    <t>BuyTranslocatorShotForce_C</t>
  </si>
  <si>
    <t>ProgTranslocator</t>
  </si>
  <si>
    <t>Prog: Translocator</t>
  </si>
  <si>
    <t>Translocator unlock</t>
  </si>
  <si>
    <t>Translocator strength</t>
  </si>
  <si>
    <t>Access Items</t>
  </si>
  <si>
    <t>Spawn/Starting Region</t>
  </si>
  <si>
    <t>HeightIncrease</t>
  </si>
  <si>
    <t>Height 1</t>
  </si>
  <si>
    <t>BuyForceBlock_C</t>
  </si>
  <si>
    <t>Height 2</t>
  </si>
  <si>
    <t>Height 3</t>
  </si>
  <si>
    <t>Height 4</t>
  </si>
  <si>
    <t>Height 5</t>
  </si>
  <si>
    <t>Height 6</t>
  </si>
  <si>
    <t>Height 7</t>
  </si>
  <si>
    <t>Height 8</t>
  </si>
  <si>
    <t>Height 9</t>
  </si>
  <si>
    <t>Height 10</t>
  </si>
  <si>
    <t>Height 11</t>
  </si>
  <si>
    <t>Height 12</t>
  </si>
  <si>
    <t>Height 13</t>
  </si>
  <si>
    <t>Height 14</t>
  </si>
  <si>
    <t>Height 15</t>
  </si>
  <si>
    <t>Height 16</t>
  </si>
  <si>
    <t>Height 17</t>
  </si>
  <si>
    <t>HeightIncrease2</t>
  </si>
  <si>
    <t>HeightIncrease3</t>
  </si>
  <si>
    <t>HeightIncrease4</t>
  </si>
  <si>
    <t>HeightIncrease5</t>
  </si>
  <si>
    <t>HeightIncrease6</t>
  </si>
  <si>
    <t>HeightIncrease7</t>
  </si>
  <si>
    <t>HeightIncrease8</t>
  </si>
  <si>
    <t>HeightIncrease9</t>
  </si>
  <si>
    <t>HeightIncrease10</t>
  </si>
  <si>
    <t>HeightIncrease11</t>
  </si>
  <si>
    <t>HeightIncrease12</t>
  </si>
  <si>
    <t>HeightIncrease13</t>
  </si>
  <si>
    <t>HeightIncrease14</t>
  </si>
  <si>
    <t>HeightIncrease15</t>
  </si>
  <si>
    <t>HeightIncrease16</t>
  </si>
  <si>
    <t>HeightIncrease17</t>
  </si>
  <si>
    <t>Amount obtainable</t>
  </si>
  <si>
    <t>Height+1</t>
  </si>
  <si>
    <t>Height+2</t>
  </si>
  <si>
    <t>Height+3</t>
  </si>
  <si>
    <t>Height+100</t>
  </si>
  <si>
    <t>HasBothTrans</t>
  </si>
  <si>
    <t>Translacator + upgrade</t>
  </si>
  <si>
    <t>2Height1</t>
  </si>
  <si>
    <t>3Height1</t>
  </si>
  <si>
    <t>Height1and2</t>
  </si>
  <si>
    <t>Height1and3</t>
  </si>
  <si>
    <t>Height11and2</t>
  </si>
  <si>
    <t>2Height2</t>
  </si>
  <si>
    <t>Height2and3</t>
  </si>
  <si>
    <t>Height11and3</t>
  </si>
  <si>
    <t>Height111and3</t>
  </si>
  <si>
    <t>Height111and2</t>
  </si>
  <si>
    <t>Height1and22</t>
  </si>
  <si>
    <t>Height11and22</t>
  </si>
  <si>
    <t>Height111and22</t>
  </si>
  <si>
    <t>Height22and3</t>
  </si>
  <si>
    <t>Height123</t>
  </si>
  <si>
    <t>Height1123</t>
  </si>
  <si>
    <t>Height11123</t>
  </si>
  <si>
    <t>Height1223</t>
  </si>
  <si>
    <t>Height11223</t>
  </si>
  <si>
    <t>Height111223</t>
  </si>
  <si>
    <t># Height combinaison</t>
  </si>
  <si>
    <t># Item Heights</t>
  </si>
  <si>
    <t># Other</t>
  </si>
  <si>
    <t>CubeSmashPossible</t>
  </si>
  <si>
    <t>RedPlanks</t>
  </si>
  <si>
    <t>Combat</t>
  </si>
  <si>
    <t>BuySmashdown_C</t>
  </si>
  <si>
    <t>ForceBeam</t>
  </si>
  <si>
    <t>ForceBeam3</t>
  </si>
  <si>
    <t>ForceBeam2</t>
  </si>
  <si>
    <t>DestroyGraves1</t>
  </si>
  <si>
    <t>DestroyGraves2</t>
  </si>
  <si>
    <t>CanGunHoly1</t>
  </si>
  <si>
    <t>CanSwordHoly1</t>
  </si>
  <si>
    <t>CanSwordHoly2</t>
  </si>
  <si>
    <t>CanGunHoly2</t>
  </si>
  <si>
    <t>Introduction</t>
  </si>
  <si>
    <t>Redville</t>
  </si>
  <si>
    <t>Desert1</t>
  </si>
  <si>
    <t>Desert2</t>
  </si>
  <si>
    <t>Desert3</t>
  </si>
  <si>
    <t>Red_Crystal</t>
  </si>
  <si>
    <t>Red Crystal</t>
  </si>
  <si>
    <t>Lavafield</t>
  </si>
  <si>
    <t>Green Crystal</t>
  </si>
  <si>
    <t>Green_Crystal</t>
  </si>
  <si>
    <t>Farm</t>
  </si>
  <si>
    <t>Before_Chapel</t>
  </si>
  <si>
    <t>Before Chapel</t>
  </si>
  <si>
    <t>After_Chapel1</t>
  </si>
  <si>
    <t>After_Chapel2</t>
  </si>
  <si>
    <t>After_Chapel3</t>
  </si>
  <si>
    <t>After_Chapel4</t>
  </si>
  <si>
    <t>After Chapel part 1</t>
  </si>
  <si>
    <t>After Chapel part 2</t>
  </si>
  <si>
    <t>After Chapel part 3</t>
  </si>
  <si>
    <t>After Chapel part 4</t>
  </si>
  <si>
    <t>Suprafield</t>
  </si>
  <si>
    <t>Behind_Suprafield</t>
  </si>
  <si>
    <t>Behind Suprafield</t>
  </si>
  <si>
    <t>Blue_Crystal_Before_Gate</t>
  </si>
  <si>
    <t>Blue_Crystal_After_Gate</t>
  </si>
  <si>
    <t>Blue_Crystal_Inside</t>
  </si>
  <si>
    <t>Rattlehag</t>
  </si>
  <si>
    <t>After_Rattlehag</t>
  </si>
  <si>
    <t>Before_Purple</t>
  </si>
  <si>
    <t>Carrot_Town</t>
  </si>
  <si>
    <t>Blueville</t>
  </si>
  <si>
    <t>Behind_Blueville</t>
  </si>
  <si>
    <t>Behind_Green</t>
  </si>
  <si>
    <t>Before_Boss</t>
  </si>
  <si>
    <t>Before_Boss2</t>
  </si>
  <si>
    <t>Before_Boss3</t>
  </si>
  <si>
    <t>Boss_Arena</t>
  </si>
  <si>
    <t>Purple_Crystal</t>
  </si>
  <si>
    <t>Blue Crystal Before Gate</t>
  </si>
  <si>
    <t>Blue Crystal After Gate</t>
  </si>
  <si>
    <t>Blue Crystal Inside</t>
  </si>
  <si>
    <t>After Rattlehag</t>
  </si>
  <si>
    <t>Carrot Town</t>
  </si>
  <si>
    <t>Before Purple</t>
  </si>
  <si>
    <t>Behind Blueville</t>
  </si>
  <si>
    <t>Behind Green</t>
  </si>
  <si>
    <t>Before Boss</t>
  </si>
  <si>
    <t>Before Boss2</t>
  </si>
  <si>
    <t>Before Boss3</t>
  </si>
  <si>
    <t>Boss Arena</t>
  </si>
  <si>
    <t>Purple Crystal</t>
  </si>
  <si>
    <t>IntroToRed</t>
  </si>
  <si>
    <t>RedToIntro</t>
  </si>
  <si>
    <t>RedToDesert</t>
  </si>
  <si>
    <t>DesertToRed</t>
  </si>
  <si>
    <t>Desert1To2</t>
  </si>
  <si>
    <t>Desert2To3</t>
  </si>
  <si>
    <t>Desert2to1</t>
  </si>
  <si>
    <t>Desert2ToRedCrystal</t>
  </si>
  <si>
    <t>Desert1ToRedCrystal</t>
  </si>
  <si>
    <t>Tutorial</t>
  </si>
  <si>
    <t>North Desert</t>
  </si>
  <si>
    <t>Central Desert</t>
  </si>
  <si>
    <t>South Desert</t>
  </si>
  <si>
    <t>Desert2ToRedCrystalAlt</t>
  </si>
  <si>
    <t>Belt</t>
  </si>
  <si>
    <t>Desert3To2</t>
  </si>
  <si>
    <t>DesertToBlueville</t>
  </si>
  <si>
    <t>DesertToFarm</t>
  </si>
  <si>
    <t>DesertToRattleHag</t>
  </si>
  <si>
    <t>DesertToGreenCrystal</t>
  </si>
  <si>
    <t>BuyBelt_C</t>
  </si>
  <si>
    <t>DesertToFarmAlt</t>
  </si>
  <si>
    <t>DesertToFarmAlt2</t>
  </si>
  <si>
    <t>BuyBuckle_C</t>
  </si>
  <si>
    <t>EventMeatBag</t>
  </si>
  <si>
    <t>Event: MeatBag</t>
  </si>
  <si>
    <t>Desert3ToRedCrystal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</si>
</sst>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81FC-C670-4D8C-B268-2B22AB17DD9E}">
  <dimension ref="A1:G1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15.77734375" defaultRowHeight="15" customHeight="1" x14ac:dyDescent="0.3"/>
  <sheetData>
    <row r="1" spans="1:7" s="1" customFormat="1" ht="30" customHeight="1" x14ac:dyDescent="0.3">
      <c r="A1" s="1" t="s">
        <v>0</v>
      </c>
      <c r="B1" s="1" t="s">
        <v>1</v>
      </c>
      <c r="C1" s="1" t="s">
        <v>3</v>
      </c>
      <c r="D1" s="1" t="s">
        <v>16</v>
      </c>
      <c r="E1" s="1" t="s">
        <v>14</v>
      </c>
      <c r="F1" s="1" t="s">
        <v>15</v>
      </c>
      <c r="G1" s="1" t="s">
        <v>2</v>
      </c>
    </row>
  </sheetData>
  <dataValidations count="2">
    <dataValidation type="custom" allowBlank="1" showInputMessage="1" showErrorMessage="1" sqref="A1:XFD1" xr:uid="{8F626CCD-872C-41D0-994A-D44187D79A85}">
      <formula1>FALSE()</formula1>
    </dataValidation>
    <dataValidation type="whole" operator="greaterThanOrEqual" allowBlank="1" showInputMessage="1" showErrorMessage="1" errorTitle="Amount" error="Please enter a number" promptTitle="Amount of item needed" prompt="Please enter the amount of item needed for the combinaison to work" sqref="F2:F1048576" xr:uid="{0D9732D1-E60B-49EC-A0C9-47E630B74430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Boolean only" error="the dropdown should auto adjust to your localised boolean, if it doesn't go in the date and change it there" prompt="Whether or not every item from the possible items list is needed" xr:uid="{D4E50FBC-107F-44A7-942D-502B1337A321}">
          <x14:formula1>
            <xm:f>Data!$B$2:$B$3</xm:f>
          </x14:formula1>
          <xm:sqref>E2 E4:E1048576</xm:sqref>
        </x14:dataValidation>
        <x14:dataValidation type="list" allowBlank="1" showInputMessage="1" showErrorMessage="1" error="This is not a valid difficulty" prompt="The difficulties can be changed in the data sheet" xr:uid="{848B9EE9-9939-4529-9961-21CC30C5C200}">
          <x14:formula1>
            <xm:f>Data!$A$2:$A$22</xm:f>
          </x14:formula1>
          <xm:sqref>D2:D1048576</xm:sqref>
        </x14:dataValidation>
        <x14:dataValidation type="list" allowBlank="1" showInputMessage="1" showErrorMessage="1" errorTitle="Boolean only" error="the dropdown should auto adjust to your localised boolean, if it doesn't go in the date and change it there" prompt="Whether or not every item from the possible items list is needed" xr:uid="{AD0BBB9F-7FBC-4355-9F56-26ED878CA7B7}">
          <x14:formula1>
            <xm:f>Data!$B$2:$B$3</xm:f>
          </x14:formula1>
          <xm:sqref>E3</xm:sqref>
        </x14:dataValidation>
        <x14:dataValidation type="list" allowBlank="1" showInputMessage="1" showErrorMessage="1" xr:uid="{7D7FAEF6-5904-4B66-9439-4871EA6CB121}">
          <x14:formula1>
            <xm:f>Region!$B$2:$B$1048576</xm:f>
          </x14:formula1>
          <xm:sqref>C2:C1048576</xm:sqref>
        </x14:dataValidation>
        <x14:dataValidation type="list" allowBlank="1" showInputMessage="1" showErrorMessage="1" xr:uid="{DED11D9A-C22A-4725-BD2B-059F43EEBD95}">
          <x14:formula1>
            <xm:f>Data!$C$2:$C$1048576</xm:f>
          </x14:formula1>
          <xm:sqref>H2:XFD1048576 G2:G5 G7:G1048576 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BE88-1C24-4B11-8581-BE1AD2A378AB}">
  <dimension ref="A1:F1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15.77734375" defaultRowHeight="15" customHeight="1" x14ac:dyDescent="0.3"/>
  <sheetData>
    <row r="1" spans="1:6" s="1" customFormat="1" ht="30" customHeight="1" x14ac:dyDescent="0.3">
      <c r="A1" s="1" t="s">
        <v>27</v>
      </c>
      <c r="B1" s="1" t="s">
        <v>31</v>
      </c>
      <c r="C1" s="1" t="s">
        <v>30</v>
      </c>
      <c r="D1" s="1" t="s">
        <v>3</v>
      </c>
      <c r="E1" s="1" t="s">
        <v>28</v>
      </c>
      <c r="F1" s="1" t="s">
        <v>29</v>
      </c>
    </row>
  </sheetData>
  <dataValidations count="1">
    <dataValidation type="decimal" operator="notEqual" allowBlank="1" showInputMessage="1" showErrorMessage="1" sqref="E2:E1048576" xr:uid="{188B5AFD-385A-4581-AF86-21BE9CB02EC2}">
      <formula1>0.115616851564564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8C9217-C5E1-49DF-AA7C-3E190B69F838}">
          <x14:formula1>
            <xm:f>Region!$B$2:$B$1048576</xm:f>
          </x14:formula1>
          <xm:sqref>D2:D1048576</xm:sqref>
        </x14:dataValidation>
        <x14:dataValidation type="list" allowBlank="1" showInputMessage="1" showErrorMessage="1" xr:uid="{3EDC7922-3E00-44F8-BFA9-6421123C77FB}">
          <x14:formula1>
            <xm:f>Items!$B$2:$B$1048576</xm:f>
          </x14:formula1>
          <xm:sqref>C2:C1048576 F2:F1048576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9E4C-17FB-493B-92EE-031818BE1F87}">
  <dimension ref="A1:C72"/>
  <sheetViews>
    <sheetView workbookViewId="0">
      <pane ySplit="1" topLeftCell="A52" activePane="bottomLeft" state="frozen"/>
      <selection pane="bottomLeft" activeCell="B72" sqref="B72"/>
    </sheetView>
  </sheetViews>
  <sheetFormatPr baseColWidth="10" defaultColWidth="25.77734375" defaultRowHeight="15" customHeight="1" x14ac:dyDescent="0.3"/>
  <sheetData>
    <row r="1" spans="1:3" ht="30" customHeight="1" x14ac:dyDescent="0.3">
      <c r="A1" t="s">
        <v>4</v>
      </c>
      <c r="B1" t="s">
        <v>5</v>
      </c>
      <c r="C1" t="s">
        <v>46</v>
      </c>
    </row>
    <row r="2" spans="1:3" ht="15" customHeight="1" x14ac:dyDescent="0.3">
      <c r="A2" t="s">
        <v>32</v>
      </c>
      <c r="B2" t="s">
        <v>33</v>
      </c>
      <c r="C2">
        <v>1</v>
      </c>
    </row>
    <row r="3" spans="1:3" ht="15" customHeight="1" x14ac:dyDescent="0.3">
      <c r="A3" t="s">
        <v>35</v>
      </c>
      <c r="B3" t="s">
        <v>34</v>
      </c>
      <c r="C3">
        <v>1</v>
      </c>
    </row>
    <row r="4" spans="1:3" ht="15" customHeight="1" x14ac:dyDescent="0.3">
      <c r="A4" t="s">
        <v>36</v>
      </c>
      <c r="B4" t="s">
        <v>38</v>
      </c>
      <c r="C4">
        <v>1</v>
      </c>
    </row>
    <row r="5" spans="1:3" ht="15" customHeight="1" x14ac:dyDescent="0.3">
      <c r="A5" t="s">
        <v>37</v>
      </c>
      <c r="B5" t="s">
        <v>39</v>
      </c>
      <c r="C5">
        <v>1</v>
      </c>
    </row>
    <row r="6" spans="1:3" ht="15" customHeight="1" x14ac:dyDescent="0.3">
      <c r="A6" t="s">
        <v>41</v>
      </c>
      <c r="B6" t="s">
        <v>40</v>
      </c>
      <c r="C6">
        <v>1</v>
      </c>
    </row>
    <row r="7" spans="1:3" ht="15" customHeight="1" x14ac:dyDescent="0.3">
      <c r="A7" t="s">
        <v>62</v>
      </c>
      <c r="B7" t="s">
        <v>47</v>
      </c>
      <c r="C7">
        <v>4</v>
      </c>
    </row>
    <row r="9" spans="1:3" ht="15" customHeight="1" x14ac:dyDescent="0.3">
      <c r="A9" t="s">
        <v>45</v>
      </c>
      <c r="B9" t="s">
        <v>42</v>
      </c>
      <c r="C9">
        <v>5</v>
      </c>
    </row>
    <row r="10" spans="1:3" ht="15" customHeight="1" x14ac:dyDescent="0.3">
      <c r="A10" t="s">
        <v>43</v>
      </c>
      <c r="B10" t="s">
        <v>44</v>
      </c>
      <c r="C10">
        <v>5</v>
      </c>
    </row>
    <row r="11" spans="1:3" ht="15" customHeight="1" x14ac:dyDescent="0.3">
      <c r="A11" t="s">
        <v>61</v>
      </c>
      <c r="B11" t="s">
        <v>48</v>
      </c>
      <c r="C11">
        <v>10</v>
      </c>
    </row>
    <row r="13" spans="1:3" ht="15" customHeight="1" x14ac:dyDescent="0.3">
      <c r="A13" t="s">
        <v>60</v>
      </c>
      <c r="B13" s="2" t="s">
        <v>64</v>
      </c>
      <c r="C13">
        <v>1</v>
      </c>
    </row>
    <row r="14" spans="1:3" ht="15" customHeight="1" x14ac:dyDescent="0.3">
      <c r="A14" t="s">
        <v>59</v>
      </c>
      <c r="B14" s="2" t="s">
        <v>65</v>
      </c>
      <c r="C14">
        <v>1</v>
      </c>
    </row>
    <row r="15" spans="1:3" ht="15" customHeight="1" x14ac:dyDescent="0.3">
      <c r="A15" t="s">
        <v>63</v>
      </c>
      <c r="B15" s="2" t="s">
        <v>66</v>
      </c>
      <c r="C15">
        <v>1</v>
      </c>
    </row>
    <row r="16" spans="1:3" ht="15" customHeight="1" x14ac:dyDescent="0.3">
      <c r="A16" t="s">
        <v>57</v>
      </c>
      <c r="B16" t="s">
        <v>55</v>
      </c>
      <c r="C16">
        <v>3</v>
      </c>
    </row>
    <row r="18" spans="1:3" ht="15" customHeight="1" x14ac:dyDescent="0.3">
      <c r="A18" t="s">
        <v>52</v>
      </c>
      <c r="B18" t="s">
        <v>49</v>
      </c>
      <c r="C18">
        <v>1</v>
      </c>
    </row>
    <row r="19" spans="1:3" ht="15" customHeight="1" x14ac:dyDescent="0.3">
      <c r="A19" t="s">
        <v>53</v>
      </c>
      <c r="B19" t="s">
        <v>50</v>
      </c>
      <c r="C19">
        <v>1</v>
      </c>
    </row>
    <row r="20" spans="1:3" ht="15" customHeight="1" x14ac:dyDescent="0.3">
      <c r="A20" t="s">
        <v>54</v>
      </c>
      <c r="B20" t="s">
        <v>51</v>
      </c>
      <c r="C20">
        <v>1</v>
      </c>
    </row>
    <row r="21" spans="1:3" ht="15" customHeight="1" x14ac:dyDescent="0.3">
      <c r="A21" t="s">
        <v>56</v>
      </c>
      <c r="B21" t="s">
        <v>58</v>
      </c>
      <c r="C21">
        <v>3</v>
      </c>
    </row>
    <row r="23" spans="1:3" ht="15" customHeight="1" x14ac:dyDescent="0.3">
      <c r="A23" t="s">
        <v>79</v>
      </c>
      <c r="B23" s="2" t="s">
        <v>75</v>
      </c>
      <c r="C23">
        <v>1</v>
      </c>
    </row>
    <row r="24" spans="1:3" ht="15" customHeight="1" x14ac:dyDescent="0.3">
      <c r="A24" t="s">
        <v>78</v>
      </c>
      <c r="B24" s="2" t="s">
        <v>74</v>
      </c>
      <c r="C24">
        <v>1</v>
      </c>
    </row>
    <row r="25" spans="1:3" ht="15" customHeight="1" x14ac:dyDescent="0.3">
      <c r="A25" t="s">
        <v>77</v>
      </c>
      <c r="B25" s="2" t="s">
        <v>76</v>
      </c>
      <c r="C25">
        <v>1</v>
      </c>
    </row>
    <row r="26" spans="1:3" ht="15" customHeight="1" x14ac:dyDescent="0.3">
      <c r="A26" t="s">
        <v>72</v>
      </c>
      <c r="B26" t="s">
        <v>73</v>
      </c>
      <c r="C26">
        <v>3</v>
      </c>
    </row>
    <row r="28" spans="1:3" ht="15" customHeight="1" x14ac:dyDescent="0.3">
      <c r="A28" t="s">
        <v>80</v>
      </c>
      <c r="B28" t="s">
        <v>71</v>
      </c>
      <c r="C28">
        <v>1</v>
      </c>
    </row>
    <row r="29" spans="1:3" ht="15" customHeight="1" x14ac:dyDescent="0.3">
      <c r="A29" t="s">
        <v>81</v>
      </c>
      <c r="B29" t="s">
        <v>70</v>
      </c>
      <c r="C29">
        <v>1</v>
      </c>
    </row>
    <row r="30" spans="1:3" ht="15" customHeight="1" x14ac:dyDescent="0.3">
      <c r="A30" t="s">
        <v>82</v>
      </c>
      <c r="B30" t="s">
        <v>69</v>
      </c>
      <c r="C30">
        <v>1</v>
      </c>
    </row>
    <row r="31" spans="1:3" ht="15" customHeight="1" x14ac:dyDescent="0.3">
      <c r="A31" t="s">
        <v>67</v>
      </c>
      <c r="B31" t="s">
        <v>68</v>
      </c>
      <c r="C31">
        <v>3</v>
      </c>
    </row>
    <row r="33" spans="1:3" ht="15" customHeight="1" x14ac:dyDescent="0.3">
      <c r="A33" t="s">
        <v>83</v>
      </c>
      <c r="B33" s="2" t="s">
        <v>85</v>
      </c>
      <c r="C33">
        <v>1</v>
      </c>
    </row>
    <row r="34" spans="1:3" ht="15" customHeight="1" x14ac:dyDescent="0.3">
      <c r="A34" t="s">
        <v>84</v>
      </c>
      <c r="B34" s="2" t="s">
        <v>86</v>
      </c>
      <c r="C34">
        <v>1</v>
      </c>
    </row>
    <row r="35" spans="1:3" ht="15" customHeight="1" x14ac:dyDescent="0.3">
      <c r="A35" t="s">
        <v>87</v>
      </c>
      <c r="B35" t="s">
        <v>92</v>
      </c>
      <c r="C35">
        <v>2</v>
      </c>
    </row>
    <row r="36" spans="1:3" ht="15" customHeight="1" x14ac:dyDescent="0.3">
      <c r="A36" t="s">
        <v>105</v>
      </c>
      <c r="B36" t="s">
        <v>105</v>
      </c>
      <c r="C36">
        <v>1</v>
      </c>
    </row>
    <row r="37" spans="1:3" ht="15" customHeight="1" x14ac:dyDescent="0.3">
      <c r="A37" t="s">
        <v>103</v>
      </c>
      <c r="B37" t="s">
        <v>104</v>
      </c>
      <c r="C37">
        <v>2</v>
      </c>
    </row>
    <row r="39" spans="1:3" ht="15" customHeight="1" x14ac:dyDescent="0.3">
      <c r="A39" t="s">
        <v>94</v>
      </c>
      <c r="B39" s="2" t="s">
        <v>88</v>
      </c>
      <c r="C39">
        <v>1</v>
      </c>
    </row>
    <row r="40" spans="1:3" ht="15" customHeight="1" x14ac:dyDescent="0.3">
      <c r="A40" t="s">
        <v>95</v>
      </c>
      <c r="B40" s="2" t="s">
        <v>89</v>
      </c>
      <c r="C40">
        <v>1</v>
      </c>
    </row>
    <row r="41" spans="1:3" ht="15" customHeight="1" x14ac:dyDescent="0.3">
      <c r="A41" t="s">
        <v>96</v>
      </c>
      <c r="B41" s="2" t="s">
        <v>90</v>
      </c>
      <c r="C41">
        <v>1</v>
      </c>
    </row>
    <row r="42" spans="1:3" ht="15" customHeight="1" x14ac:dyDescent="0.3">
      <c r="A42" t="s">
        <v>93</v>
      </c>
      <c r="B42" s="2" t="s">
        <v>91</v>
      </c>
      <c r="C42">
        <v>2</v>
      </c>
    </row>
    <row r="44" spans="1:3" ht="15" customHeight="1" x14ac:dyDescent="0.3">
      <c r="A44" t="s">
        <v>102</v>
      </c>
      <c r="B44" s="2" t="s">
        <v>97</v>
      </c>
      <c r="C44">
        <v>1</v>
      </c>
    </row>
    <row r="45" spans="1:3" ht="15" customHeight="1" x14ac:dyDescent="0.3">
      <c r="A45" t="s">
        <v>101</v>
      </c>
      <c r="B45" s="2" t="s">
        <v>98</v>
      </c>
      <c r="C45">
        <v>1</v>
      </c>
    </row>
    <row r="46" spans="1:3" ht="15" customHeight="1" x14ac:dyDescent="0.3">
      <c r="A46" t="s">
        <v>100</v>
      </c>
      <c r="B46" s="2" t="s">
        <v>99</v>
      </c>
      <c r="C46">
        <v>2</v>
      </c>
    </row>
    <row r="47" spans="1:3" ht="15" customHeight="1" x14ac:dyDescent="0.3">
      <c r="B47" s="2"/>
    </row>
    <row r="48" spans="1:3" ht="15" customHeight="1" x14ac:dyDescent="0.3">
      <c r="A48" t="s">
        <v>109</v>
      </c>
      <c r="B48" s="2" t="s">
        <v>106</v>
      </c>
      <c r="C48">
        <v>1</v>
      </c>
    </row>
    <row r="49" spans="1:3" ht="15" customHeight="1" x14ac:dyDescent="0.3">
      <c r="A49" t="s">
        <v>110</v>
      </c>
      <c r="B49" s="2" t="s">
        <v>107</v>
      </c>
      <c r="C49">
        <v>1</v>
      </c>
    </row>
    <row r="50" spans="1:3" ht="15" customHeight="1" x14ac:dyDescent="0.3">
      <c r="A50" t="s">
        <v>115</v>
      </c>
      <c r="B50" s="2" t="s">
        <v>108</v>
      </c>
      <c r="C50">
        <v>2</v>
      </c>
    </row>
    <row r="52" spans="1:3" ht="15" customHeight="1" x14ac:dyDescent="0.3">
      <c r="A52" t="s">
        <v>116</v>
      </c>
      <c r="B52" s="2" t="s">
        <v>111</v>
      </c>
      <c r="C52">
        <v>1</v>
      </c>
    </row>
    <row r="53" spans="1:3" ht="15" customHeight="1" x14ac:dyDescent="0.3">
      <c r="A53" t="s">
        <v>117</v>
      </c>
      <c r="B53" s="2" t="s">
        <v>112</v>
      </c>
      <c r="C53">
        <v>1</v>
      </c>
    </row>
    <row r="54" spans="1:3" ht="15" customHeight="1" x14ac:dyDescent="0.3">
      <c r="A54" t="s">
        <v>114</v>
      </c>
      <c r="B54" s="2" t="s">
        <v>113</v>
      </c>
      <c r="C54">
        <v>2</v>
      </c>
    </row>
    <row r="56" spans="1:3" ht="15" customHeight="1" x14ac:dyDescent="0.3">
      <c r="A56" t="s">
        <v>123</v>
      </c>
      <c r="B56" s="2" t="s">
        <v>118</v>
      </c>
      <c r="C56">
        <v>1</v>
      </c>
    </row>
    <row r="57" spans="1:3" ht="15" customHeight="1" x14ac:dyDescent="0.3">
      <c r="A57" t="s">
        <v>124</v>
      </c>
      <c r="B57" s="2" t="s">
        <v>119</v>
      </c>
      <c r="C57">
        <v>1</v>
      </c>
    </row>
    <row r="58" spans="1:3" ht="15" customHeight="1" x14ac:dyDescent="0.3">
      <c r="A58" t="s">
        <v>125</v>
      </c>
      <c r="B58" s="2" t="s">
        <v>120</v>
      </c>
      <c r="C58">
        <v>1</v>
      </c>
    </row>
    <row r="59" spans="1:3" ht="15" customHeight="1" x14ac:dyDescent="0.3">
      <c r="A59" t="s">
        <v>122</v>
      </c>
      <c r="B59" s="2" t="s">
        <v>121</v>
      </c>
      <c r="C59">
        <v>3</v>
      </c>
    </row>
    <row r="61" spans="1:3" ht="15" customHeight="1" x14ac:dyDescent="0.3">
      <c r="A61" t="s">
        <v>132</v>
      </c>
      <c r="B61" s="2" t="s">
        <v>126</v>
      </c>
      <c r="C61">
        <v>1</v>
      </c>
    </row>
    <row r="62" spans="1:3" ht="15" customHeight="1" x14ac:dyDescent="0.3">
      <c r="A62" t="s">
        <v>131</v>
      </c>
      <c r="B62" s="2" t="s">
        <v>127</v>
      </c>
      <c r="C62">
        <v>1</v>
      </c>
    </row>
    <row r="63" spans="1:3" ht="15" customHeight="1" x14ac:dyDescent="0.3">
      <c r="A63" t="s">
        <v>133</v>
      </c>
      <c r="B63" s="2" t="s">
        <v>128</v>
      </c>
      <c r="C63">
        <v>1</v>
      </c>
    </row>
    <row r="64" spans="1:3" ht="15" customHeight="1" x14ac:dyDescent="0.3">
      <c r="A64" t="s">
        <v>130</v>
      </c>
      <c r="B64" s="2" t="s">
        <v>129</v>
      </c>
      <c r="C64">
        <v>3</v>
      </c>
    </row>
    <row r="66" spans="1:3" ht="15" customHeight="1" x14ac:dyDescent="0.3">
      <c r="A66" t="s">
        <v>138</v>
      </c>
      <c r="B66" s="2" t="s">
        <v>134</v>
      </c>
      <c r="C66">
        <v>1</v>
      </c>
    </row>
    <row r="67" spans="1:3" ht="15" customHeight="1" x14ac:dyDescent="0.3">
      <c r="A67" t="s">
        <v>139</v>
      </c>
      <c r="B67" s="2" t="s">
        <v>135</v>
      </c>
      <c r="C67">
        <v>1</v>
      </c>
    </row>
    <row r="68" spans="1:3" ht="15" customHeight="1" x14ac:dyDescent="0.3">
      <c r="A68" s="2" t="s">
        <v>137</v>
      </c>
      <c r="B68" s="2" t="s">
        <v>136</v>
      </c>
      <c r="C68">
        <v>2</v>
      </c>
    </row>
    <row r="70" spans="1:3" ht="15" customHeight="1" x14ac:dyDescent="0.3">
      <c r="A70" t="s">
        <v>286</v>
      </c>
      <c r="B70" s="2" t="s">
        <v>292</v>
      </c>
      <c r="C70">
        <v>1</v>
      </c>
    </row>
    <row r="71" spans="1:3" ht="15" customHeight="1" x14ac:dyDescent="0.3">
      <c r="B71" s="2" t="s">
        <v>295</v>
      </c>
      <c r="C71">
        <v>1</v>
      </c>
    </row>
    <row r="72" spans="1:3" ht="15" customHeight="1" x14ac:dyDescent="0.3">
      <c r="A72" t="s">
        <v>297</v>
      </c>
      <c r="B72" s="2" t="s">
        <v>296</v>
      </c>
      <c r="C72">
        <v>1</v>
      </c>
    </row>
  </sheetData>
  <phoneticPr fontId="1" type="noConversion"/>
  <dataValidations count="2">
    <dataValidation type="custom" allowBlank="1" showInputMessage="1" showErrorMessage="1" sqref="A1:XFD1" xr:uid="{75D0F29A-9A47-45BE-851D-E9A1246050FA}">
      <formula1>FALSE()</formula1>
    </dataValidation>
    <dataValidation type="whole" operator="greaterThan" allowBlank="1" showInputMessage="1" showErrorMessage="1" sqref="C2:C1048576" xr:uid="{0C768F67-135D-41E7-B3DE-FA874BA8AC39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920B-1887-48AA-8D8F-09527C9DDF43}">
  <dimension ref="A1:F32"/>
  <sheetViews>
    <sheetView tabSelected="1" workbookViewId="0">
      <pane ySplit="1" topLeftCell="A4" activePane="bottomLeft" state="frozen"/>
      <selection pane="bottomLeft" activeCell="C8" sqref="C8"/>
    </sheetView>
  </sheetViews>
  <sheetFormatPr baseColWidth="10" defaultColWidth="15.77734375" defaultRowHeight="15" customHeight="1" x14ac:dyDescent="0.3"/>
  <sheetData>
    <row r="1" spans="1:6" ht="30" customHeight="1" x14ac:dyDescent="0.3">
      <c r="A1" t="s">
        <v>6</v>
      </c>
      <c r="B1" t="s">
        <v>7</v>
      </c>
      <c r="C1" t="s">
        <v>8</v>
      </c>
    </row>
    <row r="2" spans="1:6" ht="15" customHeight="1" x14ac:dyDescent="0.3">
      <c r="A2" t="s">
        <v>281</v>
      </c>
      <c r="B2" t="s">
        <v>220</v>
      </c>
      <c r="C2" t="s">
        <v>273</v>
      </c>
    </row>
    <row r="3" spans="1:6" ht="15" customHeight="1" x14ac:dyDescent="0.3">
      <c r="A3" t="s">
        <v>221</v>
      </c>
      <c r="B3" t="s">
        <v>221</v>
      </c>
      <c r="C3" t="s">
        <v>272</v>
      </c>
      <c r="D3" t="s">
        <v>275</v>
      </c>
    </row>
    <row r="4" spans="1:6" ht="15" customHeight="1" x14ac:dyDescent="0.3">
      <c r="A4" t="s">
        <v>282</v>
      </c>
      <c r="B4" t="s">
        <v>222</v>
      </c>
      <c r="C4" t="s">
        <v>274</v>
      </c>
    </row>
    <row r="5" spans="1:6" ht="15" customHeight="1" x14ac:dyDescent="0.3">
      <c r="A5" t="s">
        <v>283</v>
      </c>
      <c r="B5" t="s">
        <v>223</v>
      </c>
      <c r="C5" t="s">
        <v>276</v>
      </c>
      <c r="D5" t="s">
        <v>278</v>
      </c>
      <c r="E5" t="s">
        <v>287</v>
      </c>
    </row>
    <row r="6" spans="1:6" ht="15" customHeight="1" x14ac:dyDescent="0.3">
      <c r="A6" t="s">
        <v>284</v>
      </c>
      <c r="B6" t="s">
        <v>224</v>
      </c>
      <c r="C6" t="s">
        <v>277</v>
      </c>
    </row>
    <row r="7" spans="1:6" ht="15" customHeight="1" x14ac:dyDescent="0.3">
      <c r="A7" t="s">
        <v>226</v>
      </c>
      <c r="B7" t="s">
        <v>225</v>
      </c>
      <c r="C7" t="s">
        <v>280</v>
      </c>
      <c r="D7" t="s">
        <v>279</v>
      </c>
      <c r="E7" t="s">
        <v>285</v>
      </c>
      <c r="F7" t="s">
        <v>298</v>
      </c>
    </row>
    <row r="8" spans="1:6" ht="15" customHeight="1" x14ac:dyDescent="0.3">
      <c r="A8" t="s">
        <v>227</v>
      </c>
      <c r="B8" t="s">
        <v>227</v>
      </c>
    </row>
    <row r="9" spans="1:6" ht="15" customHeight="1" x14ac:dyDescent="0.3">
      <c r="A9" t="s">
        <v>228</v>
      </c>
      <c r="B9" t="s">
        <v>229</v>
      </c>
      <c r="C9" t="s">
        <v>291</v>
      </c>
    </row>
    <row r="10" spans="1:6" ht="15" customHeight="1" x14ac:dyDescent="0.3">
      <c r="A10" t="s">
        <v>230</v>
      </c>
      <c r="B10" t="s">
        <v>230</v>
      </c>
      <c r="C10" t="s">
        <v>289</v>
      </c>
      <c r="D10" t="s">
        <v>293</v>
      </c>
      <c r="E10" t="s">
        <v>294</v>
      </c>
    </row>
    <row r="11" spans="1:6" ht="15" customHeight="1" x14ac:dyDescent="0.3">
      <c r="A11" t="s">
        <v>232</v>
      </c>
      <c r="B11" t="s">
        <v>231</v>
      </c>
    </row>
    <row r="12" spans="1:6" ht="15" customHeight="1" x14ac:dyDescent="0.3">
      <c r="A12" t="s">
        <v>237</v>
      </c>
      <c r="B12" t="s">
        <v>233</v>
      </c>
    </row>
    <row r="13" spans="1:6" ht="15" customHeight="1" x14ac:dyDescent="0.3">
      <c r="A13" t="s">
        <v>238</v>
      </c>
      <c r="B13" t="s">
        <v>234</v>
      </c>
    </row>
    <row r="14" spans="1:6" ht="15" customHeight="1" x14ac:dyDescent="0.3">
      <c r="A14" t="s">
        <v>239</v>
      </c>
      <c r="B14" t="s">
        <v>235</v>
      </c>
    </row>
    <row r="15" spans="1:6" ht="15" customHeight="1" x14ac:dyDescent="0.3">
      <c r="A15" t="s">
        <v>240</v>
      </c>
      <c r="B15" t="s">
        <v>236</v>
      </c>
    </row>
    <row r="16" spans="1:6" ht="15" customHeight="1" x14ac:dyDescent="0.3">
      <c r="A16" t="s">
        <v>241</v>
      </c>
      <c r="B16" t="s">
        <v>241</v>
      </c>
    </row>
    <row r="17" spans="1:3" ht="15" customHeight="1" x14ac:dyDescent="0.3">
      <c r="A17" t="s">
        <v>243</v>
      </c>
      <c r="B17" t="s">
        <v>242</v>
      </c>
    </row>
    <row r="18" spans="1:3" ht="15" customHeight="1" x14ac:dyDescent="0.3">
      <c r="A18" s="2" t="s">
        <v>259</v>
      </c>
      <c r="B18" s="2" t="s">
        <v>244</v>
      </c>
    </row>
    <row r="19" spans="1:3" ht="15" customHeight="1" x14ac:dyDescent="0.3">
      <c r="A19" s="2" t="s">
        <v>260</v>
      </c>
      <c r="B19" s="2" t="s">
        <v>245</v>
      </c>
    </row>
    <row r="20" spans="1:3" ht="15" customHeight="1" x14ac:dyDescent="0.3">
      <c r="A20" s="2" t="s">
        <v>261</v>
      </c>
      <c r="B20" s="2" t="s">
        <v>246</v>
      </c>
    </row>
    <row r="21" spans="1:3" ht="15" customHeight="1" x14ac:dyDescent="0.3">
      <c r="A21" s="2" t="s">
        <v>247</v>
      </c>
      <c r="B21" s="2" t="s">
        <v>247</v>
      </c>
      <c r="C21" t="s">
        <v>290</v>
      </c>
    </row>
    <row r="22" spans="1:3" ht="15" customHeight="1" x14ac:dyDescent="0.3">
      <c r="A22" s="2" t="s">
        <v>262</v>
      </c>
      <c r="B22" s="2" t="s">
        <v>248</v>
      </c>
    </row>
    <row r="23" spans="1:3" ht="15" customHeight="1" x14ac:dyDescent="0.3">
      <c r="A23" s="2" t="s">
        <v>264</v>
      </c>
      <c r="B23" s="2" t="s">
        <v>249</v>
      </c>
    </row>
    <row r="24" spans="1:3" ht="15" customHeight="1" x14ac:dyDescent="0.3">
      <c r="A24" s="2" t="s">
        <v>263</v>
      </c>
      <c r="B24" s="2" t="s">
        <v>250</v>
      </c>
    </row>
    <row r="25" spans="1:3" ht="15" customHeight="1" x14ac:dyDescent="0.3">
      <c r="A25" s="2" t="s">
        <v>251</v>
      </c>
      <c r="B25" s="2" t="s">
        <v>251</v>
      </c>
      <c r="C25" t="s">
        <v>288</v>
      </c>
    </row>
    <row r="26" spans="1:3" ht="15" customHeight="1" x14ac:dyDescent="0.3">
      <c r="A26" s="2" t="s">
        <v>265</v>
      </c>
      <c r="B26" s="2" t="s">
        <v>252</v>
      </c>
    </row>
    <row r="27" spans="1:3" ht="15" customHeight="1" x14ac:dyDescent="0.3">
      <c r="A27" s="2" t="s">
        <v>266</v>
      </c>
      <c r="B27" s="2" t="s">
        <v>253</v>
      </c>
    </row>
    <row r="28" spans="1:3" ht="15" customHeight="1" x14ac:dyDescent="0.3">
      <c r="A28" s="2" t="s">
        <v>267</v>
      </c>
      <c r="B28" s="2" t="s">
        <v>254</v>
      </c>
    </row>
    <row r="29" spans="1:3" ht="15" customHeight="1" x14ac:dyDescent="0.3">
      <c r="A29" s="2" t="s">
        <v>268</v>
      </c>
      <c r="B29" s="2" t="s">
        <v>255</v>
      </c>
    </row>
    <row r="30" spans="1:3" ht="15" customHeight="1" x14ac:dyDescent="0.3">
      <c r="A30" s="2" t="s">
        <v>269</v>
      </c>
      <c r="B30" s="2" t="s">
        <v>256</v>
      </c>
    </row>
    <row r="31" spans="1:3" ht="15" customHeight="1" x14ac:dyDescent="0.3">
      <c r="A31" s="2" t="s">
        <v>270</v>
      </c>
      <c r="B31" s="2" t="s">
        <v>257</v>
      </c>
    </row>
    <row r="32" spans="1:3" ht="15" customHeight="1" x14ac:dyDescent="0.3">
      <c r="A32" s="2" t="s">
        <v>271</v>
      </c>
      <c r="B32" s="2" t="s">
        <v>258</v>
      </c>
    </row>
  </sheetData>
  <phoneticPr fontId="1" type="noConversion"/>
  <dataValidations count="1">
    <dataValidation type="custom" allowBlank="1" showInputMessage="1" showErrorMessage="1" sqref="A1:XFD1" xr:uid="{8E84A2C1-A6FA-4E0B-ABF8-995C35C456DE}">
      <formula1>FALSE()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FBF6B2-7CD0-48FB-8140-32F38F08603A}">
          <x14:formula1>
            <xm:f>Warp!$B$2:$B$1048576</xm:f>
          </x14:formula1>
          <xm:sqref>C2:XFD1048576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32B-B577-4AF3-873C-F9D79CD4AF9D}">
  <dimension ref="A1:I19"/>
  <sheetViews>
    <sheetView workbookViewId="0">
      <pane ySplit="1" topLeftCell="A2" activePane="bottomLeft" state="frozen"/>
      <selection pane="bottomLeft" activeCell="B15" sqref="B15"/>
    </sheetView>
  </sheetViews>
  <sheetFormatPr baseColWidth="10" defaultColWidth="15.77734375" defaultRowHeight="15" customHeight="1" x14ac:dyDescent="0.3"/>
  <sheetData>
    <row r="1" spans="1:9" ht="30" customHeight="1" x14ac:dyDescent="0.3">
      <c r="A1" t="s">
        <v>9</v>
      </c>
      <c r="B1" t="s">
        <v>10</v>
      </c>
      <c r="C1" t="s">
        <v>25</v>
      </c>
      <c r="D1" t="s">
        <v>140</v>
      </c>
    </row>
    <row r="2" spans="1:9" ht="15" customHeight="1" x14ac:dyDescent="0.3">
      <c r="B2" t="s">
        <v>272</v>
      </c>
      <c r="C2" t="s">
        <v>220</v>
      </c>
      <c r="D2" t="s">
        <v>208</v>
      </c>
    </row>
    <row r="3" spans="1:9" ht="15" customHeight="1" x14ac:dyDescent="0.3">
      <c r="B3" t="s">
        <v>273</v>
      </c>
      <c r="C3" t="s">
        <v>221</v>
      </c>
      <c r="D3" t="s">
        <v>208</v>
      </c>
    </row>
    <row r="4" spans="1:9" ht="15" customHeight="1" x14ac:dyDescent="0.3">
      <c r="B4" t="s">
        <v>274</v>
      </c>
      <c r="C4" t="s">
        <v>221</v>
      </c>
    </row>
    <row r="5" spans="1:9" ht="15" customHeight="1" x14ac:dyDescent="0.3">
      <c r="B5" t="s">
        <v>275</v>
      </c>
      <c r="C5" t="s">
        <v>222</v>
      </c>
    </row>
    <row r="6" spans="1:9" ht="15" customHeight="1" x14ac:dyDescent="0.3">
      <c r="B6" t="s">
        <v>276</v>
      </c>
      <c r="C6" t="s">
        <v>222</v>
      </c>
      <c r="D6" t="s">
        <v>142</v>
      </c>
    </row>
    <row r="7" spans="1:9" ht="15" customHeight="1" x14ac:dyDescent="0.3">
      <c r="B7" t="s">
        <v>280</v>
      </c>
      <c r="C7" t="s">
        <v>222</v>
      </c>
      <c r="D7" t="s">
        <v>105</v>
      </c>
      <c r="E7" t="s">
        <v>163</v>
      </c>
    </row>
    <row r="8" spans="1:9" ht="15" customHeight="1" x14ac:dyDescent="0.3">
      <c r="B8" t="s">
        <v>277</v>
      </c>
      <c r="C8" t="s">
        <v>223</v>
      </c>
      <c r="D8" t="s">
        <v>88</v>
      </c>
    </row>
    <row r="9" spans="1:9" ht="15" customHeight="1" x14ac:dyDescent="0.3">
      <c r="B9" t="s">
        <v>278</v>
      </c>
      <c r="C9" t="s">
        <v>223</v>
      </c>
    </row>
    <row r="10" spans="1:9" ht="15" customHeight="1" x14ac:dyDescent="0.3">
      <c r="B10" t="s">
        <v>279</v>
      </c>
      <c r="C10" t="s">
        <v>223</v>
      </c>
      <c r="D10" t="s">
        <v>162</v>
      </c>
    </row>
    <row r="11" spans="1:9" ht="15" customHeight="1" x14ac:dyDescent="0.3">
      <c r="B11" t="s">
        <v>285</v>
      </c>
      <c r="C11" t="s">
        <v>223</v>
      </c>
      <c r="D11" t="s">
        <v>134</v>
      </c>
      <c r="E11" t="s">
        <v>292</v>
      </c>
    </row>
    <row r="12" spans="1:9" ht="15" customHeight="1" x14ac:dyDescent="0.3">
      <c r="B12" t="s">
        <v>287</v>
      </c>
      <c r="C12" t="s">
        <v>224</v>
      </c>
    </row>
    <row r="13" spans="1:9" ht="15" customHeight="1" x14ac:dyDescent="0.3">
      <c r="B13" t="s">
        <v>288</v>
      </c>
      <c r="C13" t="s">
        <v>224</v>
      </c>
      <c r="D13" t="s">
        <v>211</v>
      </c>
      <c r="E13" t="s">
        <v>38</v>
      </c>
      <c r="F13" t="s">
        <v>39</v>
      </c>
      <c r="G13" t="s">
        <v>88</v>
      </c>
      <c r="H13" t="s">
        <v>126</v>
      </c>
      <c r="I13" t="s">
        <v>292</v>
      </c>
    </row>
    <row r="14" spans="1:9" ht="15" customHeight="1" x14ac:dyDescent="0.3">
      <c r="B14" t="s">
        <v>298</v>
      </c>
      <c r="C14" t="s">
        <v>224</v>
      </c>
      <c r="D14" t="s">
        <v>213</v>
      </c>
    </row>
    <row r="15" spans="1:9" ht="15" customHeight="1" x14ac:dyDescent="0.3">
      <c r="B15" t="s">
        <v>289</v>
      </c>
      <c r="C15" t="s">
        <v>224</v>
      </c>
      <c r="D15" t="s">
        <v>126</v>
      </c>
      <c r="E15" t="s">
        <v>88</v>
      </c>
    </row>
    <row r="16" spans="1:9" ht="15" customHeight="1" x14ac:dyDescent="0.3">
      <c r="B16" t="s">
        <v>293</v>
      </c>
      <c r="C16" t="s">
        <v>224</v>
      </c>
      <c r="D16" t="s">
        <v>295</v>
      </c>
    </row>
    <row r="17" spans="2:4" ht="15" customHeight="1" x14ac:dyDescent="0.3">
      <c r="B17" t="s">
        <v>294</v>
      </c>
      <c r="C17" t="s">
        <v>224</v>
      </c>
      <c r="D17" t="s">
        <v>105</v>
      </c>
    </row>
    <row r="18" spans="2:4" ht="15" customHeight="1" x14ac:dyDescent="0.3">
      <c r="B18" t="s">
        <v>290</v>
      </c>
      <c r="C18" t="s">
        <v>224</v>
      </c>
      <c r="D18" t="s">
        <v>292</v>
      </c>
    </row>
    <row r="19" spans="2:4" ht="15" customHeight="1" x14ac:dyDescent="0.3">
      <c r="B19" t="s">
        <v>291</v>
      </c>
      <c r="C19" t="s">
        <v>224</v>
      </c>
      <c r="D19" t="s">
        <v>296</v>
      </c>
    </row>
  </sheetData>
  <phoneticPr fontId="1" type="noConversion"/>
  <dataValidations count="1">
    <dataValidation type="custom" allowBlank="1" showInputMessage="1" showErrorMessage="1" sqref="A1:XFD1" xr:uid="{E7A8F58E-87FF-4BB9-84B7-4924DD1CD990}">
      <formula1>FALSE()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ECA1AA-C4FD-4894-B0E6-629D11652300}">
          <x14:formula1>
            <xm:f>Region!$B$2:$B$1048576</xm:f>
          </x14:formula1>
          <xm:sqref>C2:C1048576</xm:sqref>
        </x14:dataValidation>
        <x14:dataValidation type="list" allowBlank="1" showInputMessage="1" showErrorMessage="1" prompt="Every item is needed, if you can have multiple set of item to reach then do an item combinaison or a different warp" xr:uid="{3C0D518F-5AF3-47A8-A358-5C5421EAAC47}">
          <x14:formula1>
            <xm:f>Data!$C$2:$C$1048576</xm:f>
          </x14:formula1>
          <xm:sqref>D2:XFD1048576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2AE1-DAB8-4DD2-AE12-923550619BC6}">
  <dimension ref="A1:K60"/>
  <sheetViews>
    <sheetView workbookViewId="0">
      <pane ySplit="1" topLeftCell="A42" activePane="bottomLeft" state="frozen"/>
      <selection pane="bottomLeft" activeCell="A61" sqref="A61"/>
    </sheetView>
  </sheetViews>
  <sheetFormatPr baseColWidth="10" defaultColWidth="15.77734375" defaultRowHeight="15" customHeight="1" x14ac:dyDescent="0.3"/>
  <cols>
    <col min="1" max="4" width="15.77734375" customWidth="1"/>
    <col min="6" max="6" width="15.77734375" customWidth="1"/>
  </cols>
  <sheetData>
    <row r="1" spans="1:11" s="1" customFormat="1" ht="30" customHeight="1" x14ac:dyDescent="0.3">
      <c r="A1" s="1" t="s">
        <v>11</v>
      </c>
      <c r="B1" s="1" t="s">
        <v>12</v>
      </c>
      <c r="C1" s="1" t="s">
        <v>16</v>
      </c>
      <c r="D1" s="1" t="s">
        <v>177</v>
      </c>
      <c r="E1" s="1" t="s">
        <v>14</v>
      </c>
      <c r="F1" s="1" t="s">
        <v>15</v>
      </c>
      <c r="G1" s="1" t="s">
        <v>13</v>
      </c>
    </row>
    <row r="2" spans="1:11" ht="15" customHeight="1" x14ac:dyDescent="0.3">
      <c r="A2" t="s">
        <v>143</v>
      </c>
      <c r="B2" s="2" t="s">
        <v>142</v>
      </c>
      <c r="C2" t="s">
        <v>17</v>
      </c>
      <c r="D2">
        <v>1</v>
      </c>
      <c r="E2" t="b">
        <v>0</v>
      </c>
      <c r="F2">
        <v>1</v>
      </c>
      <c r="G2" t="s">
        <v>178</v>
      </c>
      <c r="H2" t="s">
        <v>179</v>
      </c>
      <c r="I2" t="s">
        <v>180</v>
      </c>
      <c r="J2" t="s">
        <v>181</v>
      </c>
    </row>
    <row r="3" spans="1:11" ht="15" customHeight="1" x14ac:dyDescent="0.3">
      <c r="A3" t="s">
        <v>145</v>
      </c>
      <c r="B3" s="2" t="s">
        <v>161</v>
      </c>
      <c r="C3" t="s">
        <v>17</v>
      </c>
      <c r="D3">
        <v>1</v>
      </c>
      <c r="E3" t="b">
        <v>0</v>
      </c>
      <c r="F3">
        <v>1</v>
      </c>
      <c r="G3" t="s">
        <v>179</v>
      </c>
      <c r="H3" t="s">
        <v>184</v>
      </c>
      <c r="I3" t="s">
        <v>180</v>
      </c>
      <c r="J3" t="s">
        <v>181</v>
      </c>
    </row>
    <row r="4" spans="1:11" ht="15" customHeight="1" x14ac:dyDescent="0.3">
      <c r="A4" t="s">
        <v>146</v>
      </c>
      <c r="B4" s="2" t="s">
        <v>162</v>
      </c>
      <c r="C4" t="s">
        <v>17</v>
      </c>
      <c r="D4">
        <v>1</v>
      </c>
      <c r="E4" t="b">
        <v>0</v>
      </c>
      <c r="F4">
        <v>1</v>
      </c>
      <c r="G4" t="s">
        <v>180</v>
      </c>
      <c r="H4" t="s">
        <v>185</v>
      </c>
      <c r="I4" t="s">
        <v>186</v>
      </c>
      <c r="J4" t="s">
        <v>181</v>
      </c>
    </row>
    <row r="5" spans="1:11" ht="15" customHeight="1" x14ac:dyDescent="0.3">
      <c r="A5" t="s">
        <v>147</v>
      </c>
      <c r="B5" s="2" t="s">
        <v>163</v>
      </c>
      <c r="C5" t="s">
        <v>17</v>
      </c>
      <c r="D5">
        <v>1</v>
      </c>
      <c r="E5" t="b">
        <v>0</v>
      </c>
      <c r="F5">
        <v>1</v>
      </c>
      <c r="G5" t="s">
        <v>187</v>
      </c>
      <c r="H5" t="s">
        <v>188</v>
      </c>
      <c r="I5" t="s">
        <v>189</v>
      </c>
      <c r="J5" t="s">
        <v>190</v>
      </c>
      <c r="K5" t="s">
        <v>181</v>
      </c>
    </row>
    <row r="6" spans="1:11" ht="15" customHeight="1" x14ac:dyDescent="0.3">
      <c r="A6" t="s">
        <v>148</v>
      </c>
      <c r="B6" s="2" t="s">
        <v>164</v>
      </c>
      <c r="C6" t="s">
        <v>17</v>
      </c>
      <c r="D6">
        <v>1</v>
      </c>
      <c r="E6" t="b">
        <v>0</v>
      </c>
      <c r="F6">
        <v>1</v>
      </c>
      <c r="G6" t="s">
        <v>190</v>
      </c>
      <c r="H6" t="s">
        <v>191</v>
      </c>
      <c r="I6" t="s">
        <v>193</v>
      </c>
      <c r="J6" t="s">
        <v>194</v>
      </c>
      <c r="K6" t="s">
        <v>181</v>
      </c>
    </row>
    <row r="7" spans="1:11" ht="15" customHeight="1" x14ac:dyDescent="0.3">
      <c r="A7" t="s">
        <v>149</v>
      </c>
      <c r="B7" s="2" t="s">
        <v>165</v>
      </c>
      <c r="C7" t="s">
        <v>17</v>
      </c>
      <c r="D7">
        <v>1</v>
      </c>
      <c r="E7" t="b">
        <v>0</v>
      </c>
      <c r="F7">
        <v>1</v>
      </c>
      <c r="G7" t="s">
        <v>192</v>
      </c>
      <c r="H7" t="s">
        <v>195</v>
      </c>
      <c r="I7" t="s">
        <v>198</v>
      </c>
      <c r="J7" t="s">
        <v>197</v>
      </c>
      <c r="K7" t="s">
        <v>181</v>
      </c>
    </row>
    <row r="8" spans="1:11" ht="15" customHeight="1" x14ac:dyDescent="0.3">
      <c r="A8" t="s">
        <v>150</v>
      </c>
      <c r="B8" s="2" t="s">
        <v>166</v>
      </c>
      <c r="C8" t="s">
        <v>17</v>
      </c>
      <c r="D8">
        <v>1</v>
      </c>
      <c r="E8" t="b">
        <v>0</v>
      </c>
      <c r="F8">
        <v>1</v>
      </c>
      <c r="G8" t="s">
        <v>196</v>
      </c>
      <c r="H8" t="s">
        <v>197</v>
      </c>
      <c r="I8" t="s">
        <v>199</v>
      </c>
      <c r="J8" t="s">
        <v>181</v>
      </c>
    </row>
    <row r="9" spans="1:11" ht="15" customHeight="1" x14ac:dyDescent="0.3">
      <c r="A9" t="s">
        <v>151</v>
      </c>
      <c r="B9" s="2" t="s">
        <v>167</v>
      </c>
      <c r="C9" t="s">
        <v>17</v>
      </c>
      <c r="D9">
        <v>1</v>
      </c>
      <c r="E9" t="b">
        <v>0</v>
      </c>
      <c r="F9">
        <v>1</v>
      </c>
      <c r="G9" t="s">
        <v>200</v>
      </c>
      <c r="H9" t="s">
        <v>201</v>
      </c>
      <c r="I9" t="s">
        <v>181</v>
      </c>
    </row>
    <row r="10" spans="1:11" ht="15" customHeight="1" x14ac:dyDescent="0.3">
      <c r="A10" t="s">
        <v>152</v>
      </c>
      <c r="B10" s="2" t="s">
        <v>168</v>
      </c>
      <c r="C10" t="s">
        <v>17</v>
      </c>
      <c r="D10">
        <v>1</v>
      </c>
      <c r="E10" t="b">
        <v>0</v>
      </c>
      <c r="F10">
        <v>1</v>
      </c>
      <c r="G10" t="s">
        <v>202</v>
      </c>
      <c r="H10" t="s">
        <v>181</v>
      </c>
    </row>
    <row r="11" spans="1:11" ht="15" customHeight="1" x14ac:dyDescent="0.3">
      <c r="A11" t="s">
        <v>153</v>
      </c>
      <c r="B11" s="2" t="s">
        <v>169</v>
      </c>
      <c r="C11" t="s">
        <v>17</v>
      </c>
      <c r="D11">
        <v>1</v>
      </c>
      <c r="E11" t="b">
        <v>0</v>
      </c>
      <c r="F11">
        <v>1</v>
      </c>
      <c r="G11" t="s">
        <v>203</v>
      </c>
      <c r="H11" t="s">
        <v>181</v>
      </c>
    </row>
    <row r="12" spans="1:11" ht="15" customHeight="1" x14ac:dyDescent="0.3">
      <c r="A12" t="s">
        <v>154</v>
      </c>
      <c r="B12" s="2" t="s">
        <v>170</v>
      </c>
      <c r="C12" t="s">
        <v>17</v>
      </c>
      <c r="D12">
        <v>1</v>
      </c>
      <c r="E12" t="b">
        <v>0</v>
      </c>
      <c r="F12">
        <v>1</v>
      </c>
      <c r="G12" t="s">
        <v>181</v>
      </c>
    </row>
    <row r="13" spans="1:11" ht="15" customHeight="1" x14ac:dyDescent="0.3">
      <c r="A13" t="s">
        <v>155</v>
      </c>
      <c r="B13" s="2" t="s">
        <v>171</v>
      </c>
      <c r="C13" t="s">
        <v>17</v>
      </c>
      <c r="D13">
        <v>1</v>
      </c>
      <c r="E13" t="b">
        <v>0</v>
      </c>
      <c r="F13">
        <v>1</v>
      </c>
      <c r="G13" t="s">
        <v>181</v>
      </c>
    </row>
    <row r="14" spans="1:11" ht="15" customHeight="1" x14ac:dyDescent="0.3">
      <c r="A14" t="s">
        <v>156</v>
      </c>
      <c r="B14" s="2" t="s">
        <v>172</v>
      </c>
      <c r="C14" t="s">
        <v>17</v>
      </c>
      <c r="D14">
        <v>1</v>
      </c>
      <c r="E14" t="b">
        <v>0</v>
      </c>
      <c r="F14">
        <v>1</v>
      </c>
      <c r="G14" t="s">
        <v>181</v>
      </c>
    </row>
    <row r="15" spans="1:11" ht="15" customHeight="1" x14ac:dyDescent="0.3">
      <c r="A15" t="s">
        <v>157</v>
      </c>
      <c r="B15" s="2" t="s">
        <v>173</v>
      </c>
      <c r="C15" t="s">
        <v>17</v>
      </c>
      <c r="D15">
        <v>1</v>
      </c>
      <c r="E15" t="b">
        <v>0</v>
      </c>
      <c r="F15">
        <v>1</v>
      </c>
      <c r="G15" t="s">
        <v>181</v>
      </c>
    </row>
    <row r="16" spans="1:11" ht="15" customHeight="1" x14ac:dyDescent="0.3">
      <c r="A16" t="s">
        <v>158</v>
      </c>
      <c r="B16" s="2" t="s">
        <v>174</v>
      </c>
      <c r="C16" t="s">
        <v>17</v>
      </c>
      <c r="D16">
        <v>1</v>
      </c>
      <c r="E16" t="b">
        <v>0</v>
      </c>
      <c r="F16">
        <v>1</v>
      </c>
      <c r="G16" t="s">
        <v>181</v>
      </c>
    </row>
    <row r="17" spans="1:9" ht="15" customHeight="1" x14ac:dyDescent="0.3">
      <c r="A17" t="s">
        <v>159</v>
      </c>
      <c r="B17" s="2" t="s">
        <v>175</v>
      </c>
      <c r="C17" t="s">
        <v>17</v>
      </c>
      <c r="D17">
        <v>1</v>
      </c>
      <c r="E17" t="b">
        <v>0</v>
      </c>
      <c r="F17">
        <v>1</v>
      </c>
      <c r="G17" t="s">
        <v>181</v>
      </c>
    </row>
    <row r="18" spans="1:9" ht="15" customHeight="1" x14ac:dyDescent="0.3">
      <c r="A18" t="s">
        <v>160</v>
      </c>
      <c r="B18" s="2" t="s">
        <v>176</v>
      </c>
      <c r="C18" t="s">
        <v>17</v>
      </c>
      <c r="D18">
        <v>1</v>
      </c>
      <c r="E18" t="b">
        <v>0</v>
      </c>
      <c r="F18">
        <v>1</v>
      </c>
      <c r="G18" t="s">
        <v>181</v>
      </c>
    </row>
    <row r="19" spans="1:9" ht="15" customHeight="1" x14ac:dyDescent="0.3">
      <c r="A19" t="s">
        <v>205</v>
      </c>
    </row>
    <row r="20" spans="1:9" ht="15" customHeight="1" x14ac:dyDescent="0.3">
      <c r="B20" s="2" t="s">
        <v>178</v>
      </c>
      <c r="C20" t="s">
        <v>17</v>
      </c>
      <c r="D20">
        <v>3</v>
      </c>
      <c r="E20" t="b">
        <v>0</v>
      </c>
      <c r="F20">
        <v>1</v>
      </c>
      <c r="G20" s="2" t="s">
        <v>34</v>
      </c>
      <c r="H20" s="2" t="s">
        <v>38</v>
      </c>
      <c r="I20" s="2" t="s">
        <v>39</v>
      </c>
    </row>
    <row r="21" spans="1:9" ht="15" customHeight="1" x14ac:dyDescent="0.3">
      <c r="B21" s="2" t="s">
        <v>179</v>
      </c>
      <c r="C21" t="s">
        <v>17</v>
      </c>
      <c r="D21">
        <v>2</v>
      </c>
      <c r="E21" t="b">
        <v>0</v>
      </c>
      <c r="F21">
        <v>1</v>
      </c>
      <c r="G21" s="2" t="s">
        <v>144</v>
      </c>
      <c r="H21" t="s">
        <v>182</v>
      </c>
    </row>
    <row r="22" spans="1:9" ht="15" customHeight="1" x14ac:dyDescent="0.3">
      <c r="B22" s="2" t="s">
        <v>180</v>
      </c>
      <c r="C22" t="s">
        <v>17</v>
      </c>
      <c r="D22">
        <v>1</v>
      </c>
      <c r="E22" t="b">
        <v>0</v>
      </c>
      <c r="F22">
        <v>1</v>
      </c>
      <c r="G22" s="2" t="s">
        <v>134</v>
      </c>
    </row>
    <row r="23" spans="1:9" ht="15" customHeight="1" x14ac:dyDescent="0.3">
      <c r="B23" s="2" t="s">
        <v>181</v>
      </c>
      <c r="C23" t="s">
        <v>17</v>
      </c>
      <c r="D23">
        <v>1</v>
      </c>
      <c r="E23" t="b">
        <v>0</v>
      </c>
      <c r="F23">
        <v>1</v>
      </c>
      <c r="G23" t="s">
        <v>40</v>
      </c>
    </row>
    <row r="25" spans="1:9" ht="15" customHeight="1" x14ac:dyDescent="0.3">
      <c r="A25" t="s">
        <v>183</v>
      </c>
      <c r="B25" s="2" t="s">
        <v>182</v>
      </c>
      <c r="C25" t="s">
        <v>17</v>
      </c>
      <c r="D25">
        <v>1</v>
      </c>
      <c r="E25" t="b">
        <v>1</v>
      </c>
      <c r="G25" t="s">
        <v>134</v>
      </c>
      <c r="H25" t="s">
        <v>135</v>
      </c>
    </row>
    <row r="26" spans="1:9" ht="15" customHeight="1" x14ac:dyDescent="0.3">
      <c r="A26" t="s">
        <v>204</v>
      </c>
    </row>
    <row r="27" spans="1:9" ht="15" customHeight="1" x14ac:dyDescent="0.3">
      <c r="A27">
        <v>11</v>
      </c>
      <c r="B27" s="2" t="s">
        <v>184</v>
      </c>
      <c r="C27" t="s">
        <v>17</v>
      </c>
      <c r="D27">
        <v>1</v>
      </c>
      <c r="E27" t="b">
        <v>0</v>
      </c>
      <c r="F27">
        <v>2</v>
      </c>
      <c r="G27" t="s">
        <v>178</v>
      </c>
    </row>
    <row r="28" spans="1:9" ht="15" customHeight="1" x14ac:dyDescent="0.3">
      <c r="A28">
        <v>111</v>
      </c>
      <c r="B28" t="s">
        <v>185</v>
      </c>
      <c r="C28" t="s">
        <v>17</v>
      </c>
      <c r="D28">
        <v>1</v>
      </c>
      <c r="E28" t="b">
        <v>0</v>
      </c>
      <c r="F28">
        <v>3</v>
      </c>
      <c r="G28" t="s">
        <v>178</v>
      </c>
    </row>
    <row r="29" spans="1:9" ht="15" customHeight="1" x14ac:dyDescent="0.3">
      <c r="A29" s="3">
        <v>12</v>
      </c>
      <c r="B29" s="2" t="s">
        <v>186</v>
      </c>
      <c r="C29" t="s">
        <v>17</v>
      </c>
      <c r="D29">
        <v>2</v>
      </c>
      <c r="E29" t="b">
        <v>1</v>
      </c>
      <c r="G29" t="s">
        <v>178</v>
      </c>
      <c r="H29" t="s">
        <v>179</v>
      </c>
    </row>
    <row r="30" spans="1:9" ht="15" customHeight="1" x14ac:dyDescent="0.3">
      <c r="A30">
        <v>13</v>
      </c>
      <c r="B30" s="2" t="s">
        <v>187</v>
      </c>
      <c r="C30" t="s">
        <v>17</v>
      </c>
      <c r="D30">
        <v>1</v>
      </c>
      <c r="E30" t="b">
        <v>1</v>
      </c>
      <c r="G30" t="s">
        <v>178</v>
      </c>
      <c r="H30" t="s">
        <v>180</v>
      </c>
    </row>
    <row r="31" spans="1:9" ht="15" customHeight="1" x14ac:dyDescent="0.3">
      <c r="A31">
        <v>112</v>
      </c>
      <c r="B31" s="2" t="s">
        <v>188</v>
      </c>
      <c r="C31" t="s">
        <v>17</v>
      </c>
      <c r="D31">
        <v>1</v>
      </c>
      <c r="E31" t="b">
        <v>1</v>
      </c>
      <c r="G31" t="s">
        <v>184</v>
      </c>
      <c r="H31" t="s">
        <v>179</v>
      </c>
    </row>
    <row r="32" spans="1:9" ht="15" customHeight="1" x14ac:dyDescent="0.3">
      <c r="A32">
        <v>22</v>
      </c>
      <c r="B32" s="2" t="s">
        <v>189</v>
      </c>
      <c r="C32" t="s">
        <v>17</v>
      </c>
      <c r="D32">
        <v>1</v>
      </c>
      <c r="E32" t="b">
        <v>0</v>
      </c>
      <c r="F32">
        <v>2</v>
      </c>
      <c r="G32" t="s">
        <v>179</v>
      </c>
    </row>
    <row r="33" spans="1:9" ht="15" customHeight="1" x14ac:dyDescent="0.3">
      <c r="A33">
        <v>23</v>
      </c>
      <c r="B33" s="2" t="s">
        <v>190</v>
      </c>
      <c r="C33" t="s">
        <v>17</v>
      </c>
      <c r="D33">
        <v>1</v>
      </c>
      <c r="E33" t="b">
        <v>1</v>
      </c>
      <c r="G33" t="s">
        <v>179</v>
      </c>
      <c r="H33" t="s">
        <v>180</v>
      </c>
    </row>
    <row r="34" spans="1:9" ht="15" customHeight="1" x14ac:dyDescent="0.3">
      <c r="A34">
        <v>113</v>
      </c>
      <c r="B34" s="2" t="s">
        <v>191</v>
      </c>
      <c r="C34" t="s">
        <v>17</v>
      </c>
      <c r="D34">
        <v>1</v>
      </c>
      <c r="E34" t="b">
        <v>1</v>
      </c>
      <c r="G34" t="s">
        <v>184</v>
      </c>
      <c r="H34" t="s">
        <v>180</v>
      </c>
    </row>
    <row r="35" spans="1:9" ht="15" customHeight="1" x14ac:dyDescent="0.3">
      <c r="A35">
        <v>1112</v>
      </c>
      <c r="B35" s="2" t="s">
        <v>193</v>
      </c>
      <c r="C35" t="s">
        <v>17</v>
      </c>
      <c r="D35">
        <v>1</v>
      </c>
      <c r="E35" t="b">
        <v>1</v>
      </c>
      <c r="G35" t="s">
        <v>185</v>
      </c>
      <c r="H35" t="s">
        <v>179</v>
      </c>
    </row>
    <row r="36" spans="1:9" ht="15" customHeight="1" x14ac:dyDescent="0.3">
      <c r="A36">
        <v>1113</v>
      </c>
      <c r="B36" s="2" t="s">
        <v>192</v>
      </c>
      <c r="C36" t="s">
        <v>17</v>
      </c>
      <c r="D36">
        <v>1</v>
      </c>
      <c r="E36" t="b">
        <v>1</v>
      </c>
      <c r="G36" t="s">
        <v>185</v>
      </c>
      <c r="H36" t="s">
        <v>180</v>
      </c>
    </row>
    <row r="37" spans="1:9" ht="15" customHeight="1" x14ac:dyDescent="0.3">
      <c r="A37">
        <v>122</v>
      </c>
      <c r="B37" s="2" t="s">
        <v>194</v>
      </c>
      <c r="C37" t="s">
        <v>17</v>
      </c>
      <c r="D37">
        <v>1</v>
      </c>
      <c r="E37" t="b">
        <v>1</v>
      </c>
      <c r="G37" t="s">
        <v>189</v>
      </c>
      <c r="H37" t="s">
        <v>178</v>
      </c>
    </row>
    <row r="38" spans="1:9" ht="15" customHeight="1" x14ac:dyDescent="0.3">
      <c r="A38">
        <v>1122</v>
      </c>
      <c r="B38" s="2" t="s">
        <v>195</v>
      </c>
      <c r="C38" t="s">
        <v>17</v>
      </c>
      <c r="D38">
        <v>1</v>
      </c>
      <c r="E38" t="b">
        <v>1</v>
      </c>
      <c r="G38" t="s">
        <v>189</v>
      </c>
      <c r="H38" t="s">
        <v>184</v>
      </c>
    </row>
    <row r="39" spans="1:9" ht="15" customHeight="1" x14ac:dyDescent="0.3">
      <c r="A39">
        <v>11122</v>
      </c>
      <c r="B39" s="2" t="s">
        <v>196</v>
      </c>
      <c r="C39" t="s">
        <v>17</v>
      </c>
      <c r="D39">
        <v>1</v>
      </c>
      <c r="E39" t="b">
        <v>1</v>
      </c>
      <c r="G39" t="s">
        <v>189</v>
      </c>
      <c r="H39" t="s">
        <v>185</v>
      </c>
    </row>
    <row r="40" spans="1:9" ht="15" customHeight="1" x14ac:dyDescent="0.3">
      <c r="A40">
        <v>223</v>
      </c>
      <c r="B40" s="2" t="s">
        <v>197</v>
      </c>
      <c r="C40" t="s">
        <v>17</v>
      </c>
      <c r="D40">
        <v>1</v>
      </c>
      <c r="E40" t="b">
        <v>1</v>
      </c>
      <c r="G40" t="s">
        <v>189</v>
      </c>
      <c r="H40" t="s">
        <v>180</v>
      </c>
    </row>
    <row r="41" spans="1:9" ht="15" customHeight="1" x14ac:dyDescent="0.3">
      <c r="A41">
        <v>123</v>
      </c>
      <c r="B41" s="2" t="s">
        <v>198</v>
      </c>
      <c r="C41" t="s">
        <v>17</v>
      </c>
      <c r="D41">
        <v>1</v>
      </c>
      <c r="E41" t="b">
        <v>1</v>
      </c>
      <c r="G41" t="s">
        <v>178</v>
      </c>
      <c r="H41" t="s">
        <v>179</v>
      </c>
      <c r="I41" t="s">
        <v>180</v>
      </c>
    </row>
    <row r="42" spans="1:9" ht="15" customHeight="1" x14ac:dyDescent="0.3">
      <c r="A42">
        <v>1123</v>
      </c>
      <c r="B42" s="2" t="s">
        <v>199</v>
      </c>
      <c r="C42" t="s">
        <v>17</v>
      </c>
      <c r="D42">
        <v>1</v>
      </c>
      <c r="E42" t="b">
        <v>1</v>
      </c>
      <c r="G42" t="s">
        <v>184</v>
      </c>
      <c r="H42" t="s">
        <v>179</v>
      </c>
      <c r="I42" t="s">
        <v>180</v>
      </c>
    </row>
    <row r="43" spans="1:9" ht="15" customHeight="1" x14ac:dyDescent="0.3">
      <c r="A43">
        <v>11123</v>
      </c>
      <c r="B43" s="2" t="s">
        <v>200</v>
      </c>
      <c r="C43" t="s">
        <v>17</v>
      </c>
      <c r="D43">
        <v>1</v>
      </c>
      <c r="E43" t="b">
        <v>1</v>
      </c>
      <c r="G43" t="s">
        <v>185</v>
      </c>
      <c r="H43" t="s">
        <v>179</v>
      </c>
      <c r="I43" t="s">
        <v>180</v>
      </c>
    </row>
    <row r="44" spans="1:9" ht="15" customHeight="1" x14ac:dyDescent="0.3">
      <c r="A44">
        <v>1223</v>
      </c>
      <c r="B44" s="2" t="s">
        <v>201</v>
      </c>
      <c r="C44" t="s">
        <v>17</v>
      </c>
      <c r="D44">
        <v>1</v>
      </c>
      <c r="E44" t="b">
        <v>1</v>
      </c>
      <c r="G44" t="s">
        <v>178</v>
      </c>
      <c r="H44" t="s">
        <v>189</v>
      </c>
      <c r="I44" t="s">
        <v>180</v>
      </c>
    </row>
    <row r="45" spans="1:9" ht="15" customHeight="1" x14ac:dyDescent="0.3">
      <c r="A45">
        <v>11223</v>
      </c>
      <c r="B45" s="2" t="s">
        <v>202</v>
      </c>
      <c r="C45" t="s">
        <v>17</v>
      </c>
      <c r="D45">
        <v>1</v>
      </c>
      <c r="E45" t="b">
        <v>1</v>
      </c>
      <c r="G45" t="s">
        <v>184</v>
      </c>
      <c r="H45" t="s">
        <v>189</v>
      </c>
      <c r="I45" t="s">
        <v>180</v>
      </c>
    </row>
    <row r="46" spans="1:9" ht="15" customHeight="1" x14ac:dyDescent="0.3">
      <c r="A46">
        <v>111223</v>
      </c>
      <c r="B46" s="2" t="s">
        <v>203</v>
      </c>
      <c r="C46" t="s">
        <v>17</v>
      </c>
      <c r="D46">
        <v>1</v>
      </c>
      <c r="E46" t="b">
        <v>1</v>
      </c>
      <c r="G46" t="s">
        <v>185</v>
      </c>
      <c r="H46" t="s">
        <v>189</v>
      </c>
      <c r="I46" t="s">
        <v>180</v>
      </c>
    </row>
    <row r="48" spans="1:9" ht="15" customHeight="1" x14ac:dyDescent="0.3">
      <c r="A48" t="s">
        <v>206</v>
      </c>
    </row>
    <row r="49" spans="2:10" ht="15" customHeight="1" x14ac:dyDescent="0.3">
      <c r="B49" s="2" t="s">
        <v>207</v>
      </c>
      <c r="C49" t="s">
        <v>17</v>
      </c>
      <c r="D49">
        <v>1</v>
      </c>
      <c r="E49" t="b">
        <v>1</v>
      </c>
      <c r="G49" t="s">
        <v>127</v>
      </c>
      <c r="H49" t="s">
        <v>126</v>
      </c>
    </row>
    <row r="50" spans="2:10" ht="15" customHeight="1" x14ac:dyDescent="0.3">
      <c r="B50" s="2" t="s">
        <v>208</v>
      </c>
      <c r="C50" t="s">
        <v>17</v>
      </c>
      <c r="D50">
        <v>1</v>
      </c>
      <c r="E50" t="b">
        <v>0</v>
      </c>
      <c r="F50">
        <v>1</v>
      </c>
      <c r="G50" t="s">
        <v>88</v>
      </c>
      <c r="H50" t="s">
        <v>85</v>
      </c>
      <c r="I50" t="s">
        <v>134</v>
      </c>
    </row>
    <row r="51" spans="2:10" ht="15" customHeight="1" x14ac:dyDescent="0.3">
      <c r="B51" s="2" t="s">
        <v>209</v>
      </c>
      <c r="C51" t="s">
        <v>17</v>
      </c>
      <c r="D51">
        <v>1</v>
      </c>
      <c r="E51" t="b">
        <v>0</v>
      </c>
      <c r="F51">
        <v>1</v>
      </c>
      <c r="G51" t="s">
        <v>88</v>
      </c>
      <c r="H51" t="s">
        <v>85</v>
      </c>
      <c r="I51" t="s">
        <v>134</v>
      </c>
      <c r="J51" s="2" t="s">
        <v>210</v>
      </c>
    </row>
    <row r="52" spans="2:10" ht="15" customHeight="1" x14ac:dyDescent="0.3">
      <c r="B52" s="2" t="s">
        <v>211</v>
      </c>
      <c r="C52" t="s">
        <v>17</v>
      </c>
      <c r="D52">
        <v>1</v>
      </c>
      <c r="E52" t="b">
        <v>1</v>
      </c>
      <c r="G52" t="s">
        <v>118</v>
      </c>
    </row>
    <row r="53" spans="2:10" ht="15" customHeight="1" x14ac:dyDescent="0.3">
      <c r="B53" s="2" t="s">
        <v>213</v>
      </c>
      <c r="C53" t="s">
        <v>17</v>
      </c>
      <c r="D53">
        <v>1</v>
      </c>
      <c r="E53" t="b">
        <v>1</v>
      </c>
      <c r="G53" t="s">
        <v>118</v>
      </c>
      <c r="H53" t="s">
        <v>119</v>
      </c>
    </row>
    <row r="54" spans="2:10" ht="15" customHeight="1" x14ac:dyDescent="0.3">
      <c r="B54" s="2" t="s">
        <v>212</v>
      </c>
      <c r="C54" t="s">
        <v>17</v>
      </c>
      <c r="D54">
        <v>1</v>
      </c>
      <c r="E54" t="b">
        <v>1</v>
      </c>
      <c r="G54" t="s">
        <v>118</v>
      </c>
      <c r="H54" t="s">
        <v>119</v>
      </c>
      <c r="I54" t="s">
        <v>120</v>
      </c>
    </row>
    <row r="55" spans="2:10" ht="15" customHeight="1" x14ac:dyDescent="0.3">
      <c r="B55" s="2" t="s">
        <v>214</v>
      </c>
      <c r="C55" t="s">
        <v>17</v>
      </c>
      <c r="D55">
        <v>1</v>
      </c>
      <c r="E55" t="b">
        <v>0</v>
      </c>
      <c r="F55">
        <v>1</v>
      </c>
      <c r="G55" t="s">
        <v>216</v>
      </c>
      <c r="H55" t="s">
        <v>217</v>
      </c>
    </row>
    <row r="56" spans="2:10" ht="15" customHeight="1" x14ac:dyDescent="0.3">
      <c r="B56" s="2" t="s">
        <v>215</v>
      </c>
      <c r="C56" t="s">
        <v>17</v>
      </c>
      <c r="D56">
        <v>1</v>
      </c>
      <c r="E56" t="b">
        <v>0</v>
      </c>
      <c r="F56">
        <v>1</v>
      </c>
      <c r="G56" t="s">
        <v>219</v>
      </c>
      <c r="H56" t="s">
        <v>218</v>
      </c>
    </row>
    <row r="57" spans="2:10" ht="15" customHeight="1" x14ac:dyDescent="0.3">
      <c r="B57" s="2" t="s">
        <v>216</v>
      </c>
      <c r="C57" t="s">
        <v>17</v>
      </c>
      <c r="D57">
        <v>1</v>
      </c>
      <c r="E57" t="b">
        <v>1</v>
      </c>
      <c r="G57" t="s">
        <v>88</v>
      </c>
      <c r="H57" t="s">
        <v>111</v>
      </c>
    </row>
    <row r="58" spans="2:10" ht="15" customHeight="1" x14ac:dyDescent="0.3">
      <c r="B58" s="2" t="s">
        <v>219</v>
      </c>
      <c r="C58" t="s">
        <v>17</v>
      </c>
      <c r="D58">
        <v>1</v>
      </c>
      <c r="E58" t="b">
        <v>1</v>
      </c>
      <c r="G58" t="s">
        <v>88</v>
      </c>
      <c r="H58" t="s">
        <v>112</v>
      </c>
    </row>
    <row r="59" spans="2:10" ht="15" customHeight="1" x14ac:dyDescent="0.3">
      <c r="B59" s="2" t="s">
        <v>217</v>
      </c>
      <c r="C59" t="s">
        <v>17</v>
      </c>
      <c r="D59">
        <v>1</v>
      </c>
      <c r="E59" t="b">
        <v>1</v>
      </c>
      <c r="G59" t="s">
        <v>85</v>
      </c>
      <c r="H59" t="s">
        <v>106</v>
      </c>
    </row>
    <row r="60" spans="2:10" ht="15" customHeight="1" x14ac:dyDescent="0.3">
      <c r="B60" s="2" t="s">
        <v>218</v>
      </c>
      <c r="C60" t="s">
        <v>17</v>
      </c>
      <c r="D60">
        <v>1</v>
      </c>
      <c r="E60" t="b">
        <v>1</v>
      </c>
      <c r="G60" t="s">
        <v>85</v>
      </c>
      <c r="H60" t="s">
        <v>107</v>
      </c>
    </row>
  </sheetData>
  <phoneticPr fontId="1" type="noConversion"/>
  <dataValidations count="3">
    <dataValidation type="custom" allowBlank="1" showInputMessage="1" showErrorMessage="1" sqref="A1:C1 E1:XFD1" xr:uid="{FAD49EB0-C4B1-4DBA-8659-999D60A980BB}">
      <formula1>FALSE()</formula1>
    </dataValidation>
    <dataValidation type="whole" operator="greaterThanOrEqual" allowBlank="1" showInputMessage="1" showErrorMessage="1" errorTitle="Amount" error="Please enter a number" promptTitle="Amount of item needed" prompt="Please enter the amount of item needed for the combinaison to work" sqref="F2:F1048576" xr:uid="{659BE3A8-5089-4BD8-B86D-524C24832A12}">
      <formula1>1</formula1>
    </dataValidation>
    <dataValidation type="whole" operator="greaterThan" allowBlank="1" showInputMessage="1" showErrorMessage="1" error="This is not a valid difficulty" prompt="The amount of time this combinaison is obtainable at the same time (eg. if it's &quot;collectables&quot; and there's 10 different collectables that would be 10 but if it's &quot;hasWeapon&quot; then that would 1 cause it wouldn't make sense to have another number)" sqref="D2:D1048576" xr:uid="{8D371A39-3ADA-4224-BD92-1A2AE2455813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F54B19-AA70-415A-B339-391AD73A31D0}">
          <x14:formula1>
            <xm:f>Data!$C$2:$C$1048576</xm:f>
          </x14:formula1>
          <xm:sqref>G2:K2 L2:XFD1048576 H21:I1048576 G3:I19 G23:G1048576 K3:K1048576 J3:J50 J52:J1048576</xm:sqref>
        </x14:dataValidation>
        <x14:dataValidation type="list" allowBlank="1" showInputMessage="1" showErrorMessage="1" error="This is not a valid difficulty" prompt="The difficulties can be changed in the data sheet" xr:uid="{7B3AB7B3-278E-42A8-8209-ED38642D3624}">
          <x14:formula1>
            <xm:f>Data!$A$2:$A$22</xm:f>
          </x14:formula1>
          <xm:sqref>C2:C1048576</xm:sqref>
        </x14:dataValidation>
        <x14:dataValidation type="list" allowBlank="1" showInputMessage="1" showErrorMessage="1" errorTitle="Boolean only" error="the dropdown should auto adjust to your localised boolean, if it doesn't go in the date and change it there" prompt="Whether or not every item from the possible items list is needed" xr:uid="{988F44FA-3C99-43DA-B0BD-8AAD8BBE6245}">
          <x14:formula1>
            <xm:f>Data!$B$2:$B$3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1DB6-A0F2-4376-B490-BAA2697A4A25}">
  <dimension ref="A1:D112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15.77734375" defaultRowHeight="15" customHeight="1" x14ac:dyDescent="0.3"/>
  <sheetData>
    <row r="1" spans="1:4" ht="30" customHeight="1" x14ac:dyDescent="0.3">
      <c r="A1" t="s">
        <v>16</v>
      </c>
      <c r="B1" t="s">
        <v>24</v>
      </c>
      <c r="C1" t="s">
        <v>26</v>
      </c>
      <c r="D1" t="s">
        <v>141</v>
      </c>
    </row>
    <row r="2" spans="1:4" ht="15" customHeight="1" x14ac:dyDescent="0.3">
      <c r="A2" t="s">
        <v>17</v>
      </c>
      <c r="B2" t="b">
        <f>TRUE()</f>
        <v>1</v>
      </c>
      <c r="C2" t="str" cm="1">
        <f t="array" ref="C2:C112">_xlfn.VSTACK(_xlfn._xlws.FILTER(Items!$B$2:$B$1048576,Items!$B$2:$B$1048576&lt;&gt;""),_xlfn._xlws.FILTER('Item combinaison'!$B$2:$B$1048576,'Item combinaison'!$B$2:$B$1048576&lt;&gt;""))</f>
        <v>BuySpeedx15_C</v>
      </c>
      <c r="D2" t="s">
        <v>220</v>
      </c>
    </row>
    <row r="3" spans="1:4" ht="15" customHeight="1" x14ac:dyDescent="0.3">
      <c r="A3" t="s">
        <v>18</v>
      </c>
      <c r="B3" t="b">
        <f>FALSE()</f>
        <v>0</v>
      </c>
      <c r="C3" t="str">
        <v>BuySpeedx2_C</v>
      </c>
    </row>
    <row r="4" spans="1:4" ht="15" customHeight="1" x14ac:dyDescent="0.3">
      <c r="A4" t="s">
        <v>19</v>
      </c>
      <c r="C4" t="str">
        <v>BuyDoubleJump_C</v>
      </c>
    </row>
    <row r="5" spans="1:4" ht="15" customHeight="1" x14ac:dyDescent="0.3">
      <c r="A5" t="s">
        <v>20</v>
      </c>
      <c r="C5" t="str">
        <v>BuyTripleJump_C</v>
      </c>
    </row>
    <row r="6" spans="1:4" ht="15" customHeight="1" x14ac:dyDescent="0.3">
      <c r="A6" t="s">
        <v>21</v>
      </c>
      <c r="C6" t="str">
        <v>UpgradeHappiness_C</v>
      </c>
    </row>
    <row r="7" spans="1:4" ht="15" customHeight="1" x14ac:dyDescent="0.3">
      <c r="A7" t="s">
        <v>22</v>
      </c>
      <c r="C7" t="str">
        <v>ProgSpeedJump</v>
      </c>
    </row>
    <row r="8" spans="1:4" ht="15" customHeight="1" x14ac:dyDescent="0.3">
      <c r="A8" t="s">
        <v>23</v>
      </c>
      <c r="C8" t="str">
        <v>BuyWalletx15_C</v>
      </c>
    </row>
    <row r="9" spans="1:4" ht="15" customHeight="1" x14ac:dyDescent="0.3">
      <c r="C9" t="str">
        <v>BuyWalletx2_C</v>
      </c>
    </row>
    <row r="10" spans="1:4" ht="15" customHeight="1" x14ac:dyDescent="0.3">
      <c r="C10" t="str">
        <v>ProgWalletIncrease</v>
      </c>
    </row>
    <row r="11" spans="1:4" ht="15" customHeight="1" x14ac:dyDescent="0.3">
      <c r="C11" t="str">
        <v>BuySwordDamage+1_C</v>
      </c>
    </row>
    <row r="12" spans="1:4" ht="15" customHeight="1" x14ac:dyDescent="0.3">
      <c r="C12" t="str">
        <v>BuySwordDamage+02_C</v>
      </c>
    </row>
    <row r="13" spans="1:4" ht="15" customHeight="1" x14ac:dyDescent="0.3">
      <c r="C13" t="str">
        <v>BuySwordDamage+3_C</v>
      </c>
    </row>
    <row r="14" spans="1:4" ht="15" customHeight="1" x14ac:dyDescent="0.3">
      <c r="C14" t="str">
        <v>ProgSwordDamage</v>
      </c>
    </row>
    <row r="15" spans="1:4" ht="15" customHeight="1" x14ac:dyDescent="0.3">
      <c r="C15" t="str">
        <v>BuyHealth+2_C</v>
      </c>
    </row>
    <row r="16" spans="1:4" ht="15" customHeight="1" x14ac:dyDescent="0.3">
      <c r="C16" t="str">
        <v>BuyHealth+5_C</v>
      </c>
    </row>
    <row r="17" spans="3:3" ht="15" customHeight="1" x14ac:dyDescent="0.3">
      <c r="C17" t="str">
        <v>BuyHealth+15_C</v>
      </c>
    </row>
    <row r="18" spans="3:3" ht="15" customHeight="1" x14ac:dyDescent="0.3">
      <c r="C18" t="str">
        <v>ProgHealth</v>
      </c>
    </row>
    <row r="19" spans="3:3" ht="15" customHeight="1" x14ac:dyDescent="0.3">
      <c r="C19" t="str">
        <v>BuyHealthRegen_C</v>
      </c>
    </row>
    <row r="20" spans="3:3" ht="15" customHeight="1" x14ac:dyDescent="0.3">
      <c r="C20" t="str">
        <v>BuyHealthRegenMax5_C</v>
      </c>
    </row>
    <row r="21" spans="3:3" ht="15" customHeight="1" x14ac:dyDescent="0.3">
      <c r="C21" t="str">
        <v>BuyHealthRegenMax10_C</v>
      </c>
    </row>
    <row r="22" spans="3:3" ht="15" customHeight="1" x14ac:dyDescent="0.3">
      <c r="C22" t="str">
        <v>ProgRegen</v>
      </c>
    </row>
    <row r="23" spans="3:3" ht="15" customHeight="1" x14ac:dyDescent="0.3">
      <c r="C23" t="str">
        <v>BuyGunDamage+1_C</v>
      </c>
    </row>
    <row r="24" spans="3:3" ht="15" customHeight="1" x14ac:dyDescent="0.3">
      <c r="C24" t="str">
        <v>BuyGunDamage+5_C</v>
      </c>
    </row>
    <row r="25" spans="3:3" ht="15" customHeight="1" x14ac:dyDescent="0.3">
      <c r="C25" t="str">
        <v>BuyGubDamage+15_C</v>
      </c>
    </row>
    <row r="26" spans="3:3" ht="15" customHeight="1" x14ac:dyDescent="0.3">
      <c r="C26" t="str">
        <v>ProgGunDamage</v>
      </c>
    </row>
    <row r="27" spans="3:3" ht="15" customHeight="1" x14ac:dyDescent="0.3">
      <c r="C27" t="str">
        <v>BuySword_C</v>
      </c>
    </row>
    <row r="28" spans="3:3" ht="15" customHeight="1" x14ac:dyDescent="0.3">
      <c r="C28" t="str">
        <v>BuySword2_C</v>
      </c>
    </row>
    <row r="29" spans="3:3" ht="15" customHeight="1" x14ac:dyDescent="0.3">
      <c r="C29" t="str">
        <v>ProgSword</v>
      </c>
    </row>
    <row r="30" spans="3:3" ht="15" customHeight="1" x14ac:dyDescent="0.3">
      <c r="C30" t="str">
        <v>Strength</v>
      </c>
    </row>
    <row r="31" spans="3:3" ht="15" customHeight="1" x14ac:dyDescent="0.3">
      <c r="C31" t="str">
        <v>ProgStrength</v>
      </c>
    </row>
    <row r="32" spans="3:3" ht="15" customHeight="1" x14ac:dyDescent="0.3">
      <c r="C32" t="str">
        <v>BuyGun1_C</v>
      </c>
    </row>
    <row r="33" spans="3:3" ht="15" customHeight="1" x14ac:dyDescent="0.3">
      <c r="C33" t="str">
        <v>BuyGunAlt_C</v>
      </c>
    </row>
    <row r="34" spans="3:3" ht="15" customHeight="1" x14ac:dyDescent="0.3">
      <c r="C34" t="str">
        <v>BuyGunAltDamagex2_C</v>
      </c>
    </row>
    <row r="35" spans="3:3" ht="15" customHeight="1" x14ac:dyDescent="0.3">
      <c r="C35" t="str">
        <v>ProgGun</v>
      </c>
    </row>
    <row r="36" spans="3:3" ht="15" customHeight="1" x14ac:dyDescent="0.3">
      <c r="C36" t="str">
        <v>BuyChestDetector_C</v>
      </c>
    </row>
    <row r="37" spans="3:3" ht="15" customHeight="1" x14ac:dyDescent="0.3">
      <c r="C37" t="str">
        <v>BuyChestDetectorRadius_C</v>
      </c>
    </row>
    <row r="38" spans="3:3" ht="15" customHeight="1" x14ac:dyDescent="0.3">
      <c r="C38" t="str">
        <v>ProgChestDetector</v>
      </c>
    </row>
    <row r="39" spans="3:3" ht="15" customHeight="1" x14ac:dyDescent="0.3">
      <c r="C39" t="str">
        <v>BuySwordHoly1_C</v>
      </c>
    </row>
    <row r="40" spans="3:3" ht="15" customHeight="1" x14ac:dyDescent="0.3">
      <c r="C40" t="str">
        <v>BuySwordHoly2_C</v>
      </c>
    </row>
    <row r="41" spans="3:3" ht="15" customHeight="1" x14ac:dyDescent="0.3">
      <c r="C41" t="str">
        <v>ProgGraveSword</v>
      </c>
    </row>
    <row r="42" spans="3:3" ht="15" customHeight="1" x14ac:dyDescent="0.3">
      <c r="C42" t="str">
        <v>BuyGunHoly1_C</v>
      </c>
    </row>
    <row r="43" spans="3:3" ht="15" customHeight="1" x14ac:dyDescent="0.3">
      <c r="C43" t="str">
        <v>BuyGunHoly2_C</v>
      </c>
    </row>
    <row r="44" spans="3:3" ht="15" customHeight="1" x14ac:dyDescent="0.3">
      <c r="C44" t="str">
        <v>ProgGraveGun</v>
      </c>
    </row>
    <row r="45" spans="3:3" ht="15" customHeight="1" x14ac:dyDescent="0.3">
      <c r="C45" t="str">
        <v>BuyForceBeam_C</v>
      </c>
    </row>
    <row r="46" spans="3:3" ht="15" customHeight="1" x14ac:dyDescent="0.3">
      <c r="C46" t="str">
        <v>BuyForceBeamGold_C</v>
      </c>
    </row>
    <row r="47" spans="3:3" ht="15" customHeight="1" x14ac:dyDescent="0.3">
      <c r="C47" t="str">
        <v>BuyForceCubeBeam_C</v>
      </c>
    </row>
    <row r="48" spans="3:3" ht="15" customHeight="1" x14ac:dyDescent="0.3">
      <c r="C48" t="str">
        <v>ProgForceBeam</v>
      </c>
    </row>
    <row r="49" spans="3:3" ht="15" customHeight="1" x14ac:dyDescent="0.3">
      <c r="C49" t="str">
        <v>BuyForceCube_C</v>
      </c>
    </row>
    <row r="50" spans="3:3" ht="15" customHeight="1" x14ac:dyDescent="0.3">
      <c r="C50" t="str">
        <v>CubeStomp</v>
      </c>
    </row>
    <row r="51" spans="3:3" ht="15" customHeight="1" x14ac:dyDescent="0.3">
      <c r="C51" t="str">
        <v>CubeCloseVolcano</v>
      </c>
    </row>
    <row r="52" spans="3:3" ht="15" customHeight="1" x14ac:dyDescent="0.3">
      <c r="C52" t="str">
        <v>ProgCube</v>
      </c>
    </row>
    <row r="53" spans="3:3" ht="15" customHeight="1" x14ac:dyDescent="0.3">
      <c r="C53" t="str">
        <v>BuyTranslocator_C</v>
      </c>
    </row>
    <row r="54" spans="3:3" ht="15" customHeight="1" x14ac:dyDescent="0.3">
      <c r="C54" t="str">
        <v>BuyTranslocatorShotForce_C</v>
      </c>
    </row>
    <row r="55" spans="3:3" ht="15" customHeight="1" x14ac:dyDescent="0.3">
      <c r="C55" t="str">
        <v>ProgTranslocator</v>
      </c>
    </row>
    <row r="56" spans="3:3" ht="15" customHeight="1" x14ac:dyDescent="0.3">
      <c r="C56" t="str">
        <v>BuyBelt_C</v>
      </c>
    </row>
    <row r="57" spans="3:3" ht="15" customHeight="1" x14ac:dyDescent="0.3">
      <c r="C57" t="str">
        <v>BuyBuckle_C</v>
      </c>
    </row>
    <row r="58" spans="3:3" ht="15" customHeight="1" x14ac:dyDescent="0.3">
      <c r="C58" t="str">
        <v>EventMeatBag</v>
      </c>
    </row>
    <row r="59" spans="3:3" ht="15" customHeight="1" x14ac:dyDescent="0.3">
      <c r="C59" t="str">
        <v>HeightIncrease</v>
      </c>
    </row>
    <row r="60" spans="3:3" ht="15" customHeight="1" x14ac:dyDescent="0.3">
      <c r="C60" t="str">
        <v>HeightIncrease2</v>
      </c>
    </row>
    <row r="61" spans="3:3" ht="15" customHeight="1" x14ac:dyDescent="0.3">
      <c r="C61" t="str">
        <v>HeightIncrease3</v>
      </c>
    </row>
    <row r="62" spans="3:3" ht="15" customHeight="1" x14ac:dyDescent="0.3">
      <c r="C62" t="str">
        <v>HeightIncrease4</v>
      </c>
    </row>
    <row r="63" spans="3:3" ht="15" customHeight="1" x14ac:dyDescent="0.3">
      <c r="C63" t="str">
        <v>HeightIncrease5</v>
      </c>
    </row>
    <row r="64" spans="3:3" ht="15" customHeight="1" x14ac:dyDescent="0.3">
      <c r="C64" t="str">
        <v>HeightIncrease6</v>
      </c>
    </row>
    <row r="65" spans="3:3" ht="15" customHeight="1" x14ac:dyDescent="0.3">
      <c r="C65" t="str">
        <v>HeightIncrease7</v>
      </c>
    </row>
    <row r="66" spans="3:3" ht="15" customHeight="1" x14ac:dyDescent="0.3">
      <c r="C66" t="str">
        <v>HeightIncrease8</v>
      </c>
    </row>
    <row r="67" spans="3:3" ht="15" customHeight="1" x14ac:dyDescent="0.3">
      <c r="C67" t="str">
        <v>HeightIncrease9</v>
      </c>
    </row>
    <row r="68" spans="3:3" ht="15" customHeight="1" x14ac:dyDescent="0.3">
      <c r="C68" t="str">
        <v>HeightIncrease10</v>
      </c>
    </row>
    <row r="69" spans="3:3" ht="15" customHeight="1" x14ac:dyDescent="0.3">
      <c r="C69" t="str">
        <v>HeightIncrease11</v>
      </c>
    </row>
    <row r="70" spans="3:3" ht="15" customHeight="1" x14ac:dyDescent="0.3">
      <c r="C70" t="str">
        <v>HeightIncrease12</v>
      </c>
    </row>
    <row r="71" spans="3:3" ht="15" customHeight="1" x14ac:dyDescent="0.3">
      <c r="C71" t="str">
        <v>HeightIncrease13</v>
      </c>
    </row>
    <row r="72" spans="3:3" ht="15" customHeight="1" x14ac:dyDescent="0.3">
      <c r="C72" t="str">
        <v>HeightIncrease14</v>
      </c>
    </row>
    <row r="73" spans="3:3" ht="15" customHeight="1" x14ac:dyDescent="0.3">
      <c r="C73" t="str">
        <v>HeightIncrease15</v>
      </c>
    </row>
    <row r="74" spans="3:3" ht="15" customHeight="1" x14ac:dyDescent="0.3">
      <c r="C74" t="str">
        <v>HeightIncrease16</v>
      </c>
    </row>
    <row r="75" spans="3:3" ht="15" customHeight="1" x14ac:dyDescent="0.3">
      <c r="C75" t="str">
        <v>HeightIncrease17</v>
      </c>
    </row>
    <row r="76" spans="3:3" ht="15" customHeight="1" x14ac:dyDescent="0.3">
      <c r="C76" t="str">
        <v>Height+1</v>
      </c>
    </row>
    <row r="77" spans="3:3" ht="15" customHeight="1" x14ac:dyDescent="0.3">
      <c r="C77" t="str">
        <v>Height+2</v>
      </c>
    </row>
    <row r="78" spans="3:3" ht="15" customHeight="1" x14ac:dyDescent="0.3">
      <c r="C78" t="str">
        <v>Height+3</v>
      </c>
    </row>
    <row r="79" spans="3:3" ht="15" customHeight="1" x14ac:dyDescent="0.3">
      <c r="C79" t="str">
        <v>Height+100</v>
      </c>
    </row>
    <row r="80" spans="3:3" ht="15" customHeight="1" x14ac:dyDescent="0.3">
      <c r="C80" t="str">
        <v>HasBothTrans</v>
      </c>
    </row>
    <row r="81" spans="3:3" ht="15" customHeight="1" x14ac:dyDescent="0.3">
      <c r="C81" t="str">
        <v>2Height1</v>
      </c>
    </row>
    <row r="82" spans="3:3" ht="15" customHeight="1" x14ac:dyDescent="0.3">
      <c r="C82" t="str">
        <v>3Height1</v>
      </c>
    </row>
    <row r="83" spans="3:3" ht="15" customHeight="1" x14ac:dyDescent="0.3">
      <c r="C83" t="str">
        <v>Height1and2</v>
      </c>
    </row>
    <row r="84" spans="3:3" ht="15" customHeight="1" x14ac:dyDescent="0.3">
      <c r="C84" t="str">
        <v>Height1and3</v>
      </c>
    </row>
    <row r="85" spans="3:3" ht="15" customHeight="1" x14ac:dyDescent="0.3">
      <c r="C85" t="str">
        <v>Height11and2</v>
      </c>
    </row>
    <row r="86" spans="3:3" ht="15" customHeight="1" x14ac:dyDescent="0.3">
      <c r="C86" t="str">
        <v>2Height2</v>
      </c>
    </row>
    <row r="87" spans="3:3" ht="15" customHeight="1" x14ac:dyDescent="0.3">
      <c r="C87" t="str">
        <v>Height2and3</v>
      </c>
    </row>
    <row r="88" spans="3:3" ht="15" customHeight="1" x14ac:dyDescent="0.3">
      <c r="C88" t="str">
        <v>Height11and3</v>
      </c>
    </row>
    <row r="89" spans="3:3" ht="15" customHeight="1" x14ac:dyDescent="0.3">
      <c r="C89" t="str">
        <v>Height111and2</v>
      </c>
    </row>
    <row r="90" spans="3:3" ht="15" customHeight="1" x14ac:dyDescent="0.3">
      <c r="C90" t="str">
        <v>Height111and3</v>
      </c>
    </row>
    <row r="91" spans="3:3" ht="15" customHeight="1" x14ac:dyDescent="0.3">
      <c r="C91" t="str">
        <v>Height1and22</v>
      </c>
    </row>
    <row r="92" spans="3:3" ht="15" customHeight="1" x14ac:dyDescent="0.3">
      <c r="C92" t="str">
        <v>Height11and22</v>
      </c>
    </row>
    <row r="93" spans="3:3" ht="15" customHeight="1" x14ac:dyDescent="0.3">
      <c r="C93" t="str">
        <v>Height111and22</v>
      </c>
    </row>
    <row r="94" spans="3:3" ht="15" customHeight="1" x14ac:dyDescent="0.3">
      <c r="C94" t="str">
        <v>Height22and3</v>
      </c>
    </row>
    <row r="95" spans="3:3" ht="15" customHeight="1" x14ac:dyDescent="0.3">
      <c r="C95" t="str">
        <v>Height123</v>
      </c>
    </row>
    <row r="96" spans="3:3" ht="15" customHeight="1" x14ac:dyDescent="0.3">
      <c r="C96" t="str">
        <v>Height1123</v>
      </c>
    </row>
    <row r="97" spans="3:3" ht="15" customHeight="1" x14ac:dyDescent="0.3">
      <c r="C97" t="str">
        <v>Height11123</v>
      </c>
    </row>
    <row r="98" spans="3:3" ht="15" customHeight="1" x14ac:dyDescent="0.3">
      <c r="C98" t="str">
        <v>Height1223</v>
      </c>
    </row>
    <row r="99" spans="3:3" ht="15" customHeight="1" x14ac:dyDescent="0.3">
      <c r="C99" t="str">
        <v>Height11223</v>
      </c>
    </row>
    <row r="100" spans="3:3" ht="15" customHeight="1" x14ac:dyDescent="0.3">
      <c r="C100" t="str">
        <v>Height111223</v>
      </c>
    </row>
    <row r="101" spans="3:3" ht="15" customHeight="1" x14ac:dyDescent="0.3">
      <c r="C101" t="str">
        <v>CubeSmashPossible</v>
      </c>
    </row>
    <row r="102" spans="3:3" ht="15" customHeight="1" x14ac:dyDescent="0.3">
      <c r="C102" t="str">
        <v>RedPlanks</v>
      </c>
    </row>
    <row r="103" spans="3:3" ht="15" customHeight="1" x14ac:dyDescent="0.3">
      <c r="C103" t="str">
        <v>Combat</v>
      </c>
    </row>
    <row r="104" spans="3:3" ht="15" customHeight="1" x14ac:dyDescent="0.3">
      <c r="C104" t="str">
        <v>ForceBeam</v>
      </c>
    </row>
    <row r="105" spans="3:3" ht="15" customHeight="1" x14ac:dyDescent="0.3">
      <c r="C105" t="str">
        <v>ForceBeam2</v>
      </c>
    </row>
    <row r="106" spans="3:3" ht="15" customHeight="1" x14ac:dyDescent="0.3">
      <c r="C106" t="str">
        <v>ForceBeam3</v>
      </c>
    </row>
    <row r="107" spans="3:3" ht="15" customHeight="1" x14ac:dyDescent="0.3">
      <c r="C107" t="str">
        <v>DestroyGraves1</v>
      </c>
    </row>
    <row r="108" spans="3:3" ht="15" customHeight="1" x14ac:dyDescent="0.3">
      <c r="C108" t="str">
        <v>DestroyGraves2</v>
      </c>
    </row>
    <row r="109" spans="3:3" ht="15" customHeight="1" x14ac:dyDescent="0.3">
      <c r="C109" t="str">
        <v>CanGunHoly1</v>
      </c>
    </row>
    <row r="110" spans="3:3" ht="15" customHeight="1" x14ac:dyDescent="0.3">
      <c r="C110" t="str">
        <v>CanGunHoly2</v>
      </c>
    </row>
    <row r="111" spans="3:3" ht="15" customHeight="1" x14ac:dyDescent="0.3">
      <c r="C111" t="str">
        <v>CanSwordHoly1</v>
      </c>
    </row>
    <row r="112" spans="3:3" ht="15" customHeight="1" x14ac:dyDescent="0.3">
      <c r="C112" t="str">
        <v>CanSwordHoly2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12CE32-FCB8-4B6A-BD73-740439E05BAF}">
          <x14:formula1>
            <xm:f>Region!$B$2:$B$1048576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Locations</vt:lpstr>
      <vt:lpstr>Shops</vt:lpstr>
      <vt:lpstr>Items</vt:lpstr>
      <vt:lpstr>Region</vt:lpstr>
      <vt:lpstr>Warp</vt:lpstr>
      <vt:lpstr>Item combinaison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Deplaine</dc:creator>
  <cp:lastModifiedBy>Guillaume DEPLAINE</cp:lastModifiedBy>
  <dcterms:created xsi:type="dcterms:W3CDTF">2025-10-18T01:34:51Z</dcterms:created>
  <dcterms:modified xsi:type="dcterms:W3CDTF">2025-10-18T14:40:20Z</dcterms:modified>
</cp:coreProperties>
</file>